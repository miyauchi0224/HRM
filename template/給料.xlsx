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9BA7123B-7F41-425F-8649-56E562E7EA9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集計" sheetId="2" r:id="rId1"/>
    <sheet name="賞与" sheetId="3" r:id="rId2"/>
    <sheet name="給料" sheetId="1" r:id="rId3"/>
  </sheets>
  <calcPr calcId="191028"/>
  <pivotCaches>
    <pivotCache cacheId="117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<sst xmlns="http://schemas.openxmlformats.org/spreadsheetml/2006/main" count="58" uniqueCount="32">
  <si>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合計 / 基本給</t>
  </si>
  <si>
    <t>合計 / 時間外手当</t>
  </si>
  <si>
    <t>合計 / 技術手当</t>
  </si>
  <si>
    <t>年末</t>
  </si>
  <si>
    <t>約３８０万円</t>
  </si>
  <si>
    <t>年</t>
  </si>
  <si>
    <t>月</t>
  </si>
  <si>
    <t>基本給</t>
  </si>
  <si>
    <t>時間外手当</t>
  </si>
  <si>
    <t>技術手当</t>
  </si>
  <si>
    <t>出向手当</t>
  </si>
  <si>
    <t>住宅手当</t>
  </si>
  <si>
    <t>か</t>
  </si>
  <si>
    <t>き</t>
  </si>
  <si>
    <t>く</t>
  </si>
  <si>
    <t>給与総額</t>
  </si>
  <si>
    <t>非課税額</t>
  </si>
  <si>
    <t>課税分給与額</t>
  </si>
  <si>
    <t>健保</t>
  </si>
  <si>
    <t>厚生保険及び基金掛金等</t>
  </si>
  <si>
    <t>雇用保険</t>
  </si>
  <si>
    <t>社会保険等計</t>
  </si>
  <si>
    <t>差引控除後の給与額</t>
  </si>
  <si>
    <t>所得税</t>
  </si>
  <si>
    <t>市町村民税</t>
  </si>
  <si>
    <t>せ</t>
  </si>
  <si>
    <t>そ</t>
  </si>
  <si>
    <t>た</t>
  </si>
  <si>
    <t>控除計</t>
  </si>
  <si>
    <t>差引支給額</t>
  </si>
  <si>
    <t>冬</t>
  </si>
  <si>
    <t>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</si>
</sst>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4">
    <font>
      <sz val="11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b/>
      <sz val="12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  <xf numFmtId="176" fontId="2" fillId="0" borderId="0" xfId="0" applyNumberFormat="1" applyFont="1"/>
    <xf numFmtId="0" fontId="0" fillId="0" borderId="0" xfId="0" applyNumberFormat="1"/>
    <xf numFmtId="176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0.506721990743" createdVersion="8" refreshedVersion="8" minRefreshableVersion="3" recordCount="51" xr:uid="{3C5CBF23-B32B-42D2-9F91-842798B1A84C}">
  <cacheSource type="worksheet">
    <worksheetSource ref="A1:Y1048576" sheet="給料"/>
  </cacheSource>
  <cacheFields count="25">
    <cacheField name="年" numFmtId="0">
      <sharedItems containsString="0" containsBlank="1" containsNumber="1" containsInteger="1" minValue="2023" maxValue="2027"/>
    </cacheField>
    <cacheField name="月" numFmtId="0">
      <sharedItems containsString="0" containsBlank="1" containsNumber="1" containsInteger="1" minValue="1" maxValue="12"/>
    </cacheField>
    <cacheField name="基本給" numFmtId="176">
      <sharedItems containsString="0" containsBlank="1" containsNumber="1" containsInteger="1" minValue="197000" maxValue="197000"/>
    </cacheField>
    <cacheField name="時間外手当" numFmtId="176">
      <sharedItems containsString="0" containsBlank="1" containsNumber="1" containsInteger="1" minValue="0" maxValue="7763"/>
    </cacheField>
    <cacheField name="技術手当" numFmtId="176">
      <sharedItems containsString="0" containsBlank="1" containsNumber="1" containsInteger="1" minValue="38000" maxValue="38000"/>
    </cacheField>
    <cacheField name="出向手当" numFmtId="176">
      <sharedItems containsString="0" containsBlank="1" containsNumber="1" containsInteger="1" minValue="10000" maxValue="10000"/>
    </cacheField>
    <cacheField name="住宅手当" numFmtId="176">
      <sharedItems containsString="0" containsBlank="1" containsNumber="1" containsInteger="1" minValue="15000" maxValue="15000"/>
    </cacheField>
    <cacheField name="か" numFmtId="176">
      <sharedItems containsNonDate="0" containsString="0" containsBlank="1"/>
    </cacheField>
    <cacheField name="き" numFmtId="176">
      <sharedItems containsNonDate="0" containsString="0" containsBlank="1"/>
    </cacheField>
    <cacheField name="く" numFmtId="176">
      <sharedItems containsString="0" containsBlank="1" containsNumber="1" containsInteger="1" minValue="38900" maxValue="38900"/>
    </cacheField>
    <cacheField name="給与総額" numFmtId="176">
      <sharedItems containsString="0" containsBlank="1" containsNumber="1" containsInteger="1" minValue="298900" maxValue="306663"/>
    </cacheField>
    <cacheField name="非課税額" numFmtId="176">
      <sharedItems containsString="0" containsBlank="1" containsNumber="1" containsInteger="1" minValue="38900" maxValue="38900"/>
    </cacheField>
    <cacheField name="課税分給与額" numFmtId="176">
      <sharedItems containsString="0" containsBlank="1" containsNumber="1" containsInteger="1" minValue="260000" maxValue="267763"/>
    </cacheField>
    <cacheField name="健保" numFmtId="176">
      <sharedItems containsString="0" containsBlank="1" containsNumber="1" containsInteger="1" minValue="14865" maxValue="17250"/>
    </cacheField>
    <cacheField name="厚生保険及び基金掛金等" numFmtId="176">
      <sharedItems containsString="0" containsBlank="1" containsNumber="1" containsInteger="1" minValue="27450" maxValue="27450"/>
    </cacheField>
    <cacheField name="雇用保険" numFmtId="176">
      <sharedItems containsString="0" containsBlank="1" containsNumber="1" containsInteger="1" minValue="1644" maxValue="1793"/>
    </cacheField>
    <cacheField name="社会保険等計" numFmtId="176">
      <sharedItems containsString="0" containsBlank="1" containsNumber="1" containsInteger="1" minValue="43959" maxValue="46387"/>
    </cacheField>
    <cacheField name="差引控除後の給与額" numFmtId="176">
      <sharedItems containsString="0" containsBlank="1" containsNumber="1" containsInteger="1" minValue="215892" maxValue="221376"/>
    </cacheField>
    <cacheField name="所得税" numFmtId="176">
      <sharedItems containsString="0" containsBlank="1" containsNumber="1" containsInteger="1" minValue="5340" maxValue="5560"/>
    </cacheField>
    <cacheField name="市町村民税" numFmtId="176">
      <sharedItems containsNonDate="0" containsString="0" containsBlank="1"/>
    </cacheField>
    <cacheField name="せ" numFmtId="176">
      <sharedItems containsNonDate="0" containsString="0" containsBlank="1"/>
    </cacheField>
    <cacheField name="そ" numFmtId="176">
      <sharedItems containsNonDate="0" containsString="0" containsBlank="1"/>
    </cacheField>
    <cacheField name="た" numFmtId="176">
      <sharedItems containsNonDate="0" containsString="0" containsBlank="1"/>
    </cacheField>
    <cacheField name="控除計" numFmtId="176">
      <sharedItems containsString="0" containsBlank="1" containsNumber="1" containsInteger="1" minValue="5340" maxValue="5560"/>
    </cacheField>
    <cacheField name="差引支給額" numFmtId="176">
      <sharedItems containsString="0" containsBlank="1" containsNumber="1" containsInteger="1" minValue="249452" maxValue="254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3"/>
    <n v="11"/>
    <m/>
    <m/>
    <m/>
    <m/>
    <m/>
    <m/>
    <m/>
    <m/>
    <m/>
    <m/>
    <m/>
    <m/>
    <m/>
    <m/>
    <m/>
    <m/>
    <m/>
    <m/>
    <m/>
    <m/>
    <m/>
    <m/>
    <m/>
  </r>
  <r>
    <n v="2023"/>
    <n v="12"/>
    <m/>
    <m/>
    <m/>
    <m/>
    <m/>
    <m/>
    <m/>
    <m/>
    <m/>
    <m/>
    <m/>
    <m/>
    <m/>
    <m/>
    <m/>
    <m/>
    <m/>
    <m/>
    <m/>
    <m/>
    <m/>
    <m/>
    <m/>
  </r>
  <r>
    <n v="2024"/>
    <n v="1"/>
    <m/>
    <m/>
    <m/>
    <m/>
    <m/>
    <m/>
    <m/>
    <m/>
    <m/>
    <m/>
    <m/>
    <m/>
    <m/>
    <m/>
    <m/>
    <m/>
    <m/>
    <m/>
    <m/>
    <m/>
    <m/>
    <m/>
    <m/>
  </r>
  <r>
    <n v="2024"/>
    <n v="2"/>
    <m/>
    <m/>
    <m/>
    <m/>
    <m/>
    <m/>
    <m/>
    <m/>
    <m/>
    <m/>
    <m/>
    <m/>
    <m/>
    <m/>
    <m/>
    <m/>
    <m/>
    <m/>
    <m/>
    <m/>
    <m/>
    <m/>
    <m/>
  </r>
  <r>
    <n v="2024"/>
    <n v="3"/>
    <m/>
    <m/>
    <m/>
    <m/>
    <m/>
    <m/>
    <m/>
    <m/>
    <m/>
    <m/>
    <m/>
    <m/>
    <m/>
    <m/>
    <m/>
    <m/>
    <m/>
    <m/>
    <m/>
    <m/>
    <m/>
    <m/>
    <m/>
  </r>
  <r>
    <n v="2024"/>
    <n v="4"/>
    <m/>
    <m/>
    <m/>
    <m/>
    <m/>
    <m/>
    <m/>
    <m/>
    <m/>
    <m/>
    <m/>
    <m/>
    <m/>
    <m/>
    <m/>
    <m/>
    <m/>
    <m/>
    <m/>
    <m/>
    <m/>
    <m/>
    <m/>
  </r>
  <r>
    <n v="2024"/>
    <n v="5"/>
    <m/>
    <m/>
    <m/>
    <m/>
    <m/>
    <m/>
    <m/>
    <m/>
    <m/>
    <m/>
    <m/>
    <m/>
    <m/>
    <m/>
    <m/>
    <m/>
    <m/>
    <m/>
    <m/>
    <m/>
    <m/>
    <m/>
    <m/>
  </r>
  <r>
    <n v="2024"/>
    <n v="6"/>
    <m/>
    <m/>
    <m/>
    <m/>
    <m/>
    <m/>
    <m/>
    <m/>
    <m/>
    <m/>
    <m/>
    <m/>
    <m/>
    <m/>
    <m/>
    <m/>
    <m/>
    <m/>
    <m/>
    <m/>
    <m/>
    <m/>
    <m/>
  </r>
  <r>
    <n v="2024"/>
    <n v="7"/>
    <m/>
    <m/>
    <m/>
    <m/>
    <m/>
    <m/>
    <m/>
    <m/>
    <m/>
    <m/>
    <m/>
    <m/>
    <m/>
    <m/>
    <m/>
    <m/>
    <m/>
    <m/>
    <m/>
    <m/>
    <m/>
    <m/>
    <m/>
  </r>
  <r>
    <n v="2024"/>
    <n v="8"/>
    <m/>
    <m/>
    <m/>
    <m/>
    <m/>
    <m/>
    <m/>
    <m/>
    <m/>
    <m/>
    <m/>
    <m/>
    <m/>
    <m/>
    <m/>
    <m/>
    <m/>
    <m/>
    <m/>
    <m/>
    <m/>
    <m/>
    <m/>
  </r>
  <r>
    <n v="2024"/>
    <n v="9"/>
    <m/>
    <m/>
    <m/>
    <m/>
    <m/>
    <m/>
    <m/>
    <m/>
    <m/>
    <m/>
    <m/>
    <m/>
    <m/>
    <m/>
    <m/>
    <m/>
    <m/>
    <m/>
    <m/>
    <m/>
    <m/>
    <m/>
    <m/>
  </r>
  <r>
    <n v="2024"/>
    <n v="10"/>
    <m/>
    <m/>
    <m/>
    <m/>
    <m/>
    <m/>
    <m/>
    <m/>
    <m/>
    <m/>
    <m/>
    <m/>
    <m/>
    <m/>
    <m/>
    <m/>
    <m/>
    <m/>
    <m/>
    <m/>
    <m/>
    <m/>
    <m/>
  </r>
  <r>
    <n v="2024"/>
    <n v="11"/>
    <m/>
    <m/>
    <m/>
    <m/>
    <m/>
    <m/>
    <m/>
    <m/>
    <m/>
    <m/>
    <m/>
    <m/>
    <m/>
    <m/>
    <m/>
    <m/>
    <m/>
    <m/>
    <m/>
    <m/>
    <m/>
    <m/>
    <m/>
  </r>
  <r>
    <n v="2024"/>
    <n v="12"/>
    <m/>
    <m/>
    <m/>
    <m/>
    <m/>
    <m/>
    <m/>
    <m/>
    <m/>
    <m/>
    <m/>
    <m/>
    <m/>
    <m/>
    <m/>
    <m/>
    <m/>
    <m/>
    <m/>
    <m/>
    <m/>
    <m/>
    <m/>
  </r>
  <r>
    <n v="2025"/>
    <n v="1"/>
    <m/>
    <m/>
    <m/>
    <m/>
    <m/>
    <m/>
    <m/>
    <m/>
    <m/>
    <m/>
    <m/>
    <m/>
    <m/>
    <m/>
    <m/>
    <m/>
    <m/>
    <m/>
    <m/>
    <m/>
    <m/>
    <m/>
    <m/>
  </r>
  <r>
    <n v="2025"/>
    <n v="2"/>
    <m/>
    <m/>
    <m/>
    <m/>
    <m/>
    <m/>
    <m/>
    <m/>
    <m/>
    <m/>
    <m/>
    <m/>
    <m/>
    <m/>
    <m/>
    <m/>
    <m/>
    <m/>
    <m/>
    <m/>
    <m/>
    <m/>
    <m/>
  </r>
  <r>
    <n v="2025"/>
    <n v="3"/>
    <m/>
    <m/>
    <m/>
    <m/>
    <m/>
    <m/>
    <m/>
    <m/>
    <m/>
    <m/>
    <m/>
    <m/>
    <m/>
    <m/>
    <m/>
    <m/>
    <m/>
    <m/>
    <m/>
    <m/>
    <m/>
    <m/>
    <m/>
  </r>
  <r>
    <n v="2025"/>
    <n v="4"/>
    <m/>
    <m/>
    <m/>
    <m/>
    <m/>
    <m/>
    <m/>
    <m/>
    <m/>
    <m/>
    <m/>
    <m/>
    <m/>
    <m/>
    <m/>
    <m/>
    <m/>
    <m/>
    <m/>
    <m/>
    <m/>
    <m/>
    <m/>
  </r>
  <r>
    <n v="2025"/>
    <n v="5"/>
    <n v="197000"/>
    <n v="0"/>
    <n v="38000"/>
    <n v="10000"/>
    <n v="15000"/>
    <m/>
    <m/>
    <n v="38900"/>
    <n v="298900"/>
    <n v="38900"/>
    <n v="260000"/>
    <n v="14865"/>
    <n v="27450"/>
    <n v="1793"/>
    <n v="44108"/>
    <n v="215892"/>
    <n v="5340"/>
    <m/>
    <m/>
    <m/>
    <m/>
    <m/>
    <m/>
  </r>
  <r>
    <n v="2025"/>
    <n v="6"/>
    <n v="197000"/>
    <n v="0"/>
    <n v="38000"/>
    <n v="10000"/>
    <n v="15000"/>
    <m/>
    <m/>
    <n v="38900"/>
    <n v="298900"/>
    <n v="38900"/>
    <n v="260000"/>
    <n v="14865"/>
    <n v="27450"/>
    <n v="1793"/>
    <n v="44108"/>
    <n v="215892"/>
    <n v="5340"/>
    <m/>
    <m/>
    <m/>
    <m/>
    <n v="5340"/>
    <n v="249452"/>
  </r>
  <r>
    <n v="2025"/>
    <n v="7"/>
    <n v="197000"/>
    <n v="0"/>
    <n v="38000"/>
    <n v="10000"/>
    <n v="15000"/>
    <m/>
    <m/>
    <n v="38900"/>
    <n v="298900"/>
    <n v="38900"/>
    <n v="260000"/>
    <n v="14865"/>
    <n v="27450"/>
    <n v="1793"/>
    <n v="44108"/>
    <n v="215892"/>
    <n v="5340"/>
    <m/>
    <m/>
    <m/>
    <m/>
    <m/>
    <m/>
  </r>
  <r>
    <n v="2025"/>
    <n v="8"/>
    <n v="197000"/>
    <n v="0"/>
    <n v="38000"/>
    <n v="10000"/>
    <n v="15000"/>
    <m/>
    <m/>
    <n v="38900"/>
    <n v="298900"/>
    <n v="38900"/>
    <n v="260000"/>
    <n v="14865"/>
    <n v="27450"/>
    <n v="1793"/>
    <n v="44108"/>
    <n v="215892"/>
    <n v="5340"/>
    <m/>
    <m/>
    <m/>
    <m/>
    <n v="5340"/>
    <n v="249452"/>
  </r>
  <r>
    <n v="2025"/>
    <n v="9"/>
    <n v="197000"/>
    <n v="0"/>
    <n v="38000"/>
    <n v="10000"/>
    <n v="15000"/>
    <m/>
    <m/>
    <n v="38900"/>
    <n v="298900"/>
    <n v="38900"/>
    <n v="260000"/>
    <n v="14867"/>
    <n v="27450"/>
    <n v="1644"/>
    <n v="43959"/>
    <n v="216041"/>
    <n v="5340"/>
    <m/>
    <m/>
    <m/>
    <m/>
    <n v="5340"/>
    <n v="249601"/>
  </r>
  <r>
    <n v="2025"/>
    <n v="10"/>
    <n v="197000"/>
    <n v="7763"/>
    <n v="38000"/>
    <n v="10000"/>
    <n v="15000"/>
    <m/>
    <m/>
    <n v="38900"/>
    <n v="306663"/>
    <n v="38900"/>
    <n v="267763"/>
    <n v="17250"/>
    <n v="27450"/>
    <n v="1687"/>
    <n v="46387"/>
    <n v="221376"/>
    <n v="5560"/>
    <m/>
    <m/>
    <m/>
    <m/>
    <n v="5560"/>
    <n v="254716"/>
  </r>
  <r>
    <n v="2025"/>
    <n v="11"/>
    <m/>
    <m/>
    <m/>
    <m/>
    <m/>
    <m/>
    <m/>
    <m/>
    <m/>
    <m/>
    <m/>
    <m/>
    <m/>
    <m/>
    <m/>
    <m/>
    <m/>
    <m/>
    <m/>
    <m/>
    <m/>
    <m/>
    <m/>
  </r>
  <r>
    <n v="2025"/>
    <n v="12"/>
    <m/>
    <m/>
    <m/>
    <m/>
    <m/>
    <m/>
    <m/>
    <m/>
    <m/>
    <m/>
    <m/>
    <m/>
    <m/>
    <m/>
    <m/>
    <m/>
    <m/>
    <m/>
    <m/>
    <m/>
    <m/>
    <m/>
    <m/>
  </r>
  <r>
    <n v="2026"/>
    <n v="1"/>
    <m/>
    <m/>
    <m/>
    <m/>
    <m/>
    <m/>
    <m/>
    <m/>
    <m/>
    <m/>
    <m/>
    <m/>
    <m/>
    <m/>
    <m/>
    <m/>
    <m/>
    <m/>
    <m/>
    <m/>
    <m/>
    <m/>
    <m/>
  </r>
  <r>
    <n v="2026"/>
    <n v="2"/>
    <m/>
    <m/>
    <m/>
    <m/>
    <m/>
    <m/>
    <m/>
    <m/>
    <m/>
    <m/>
    <m/>
    <m/>
    <m/>
    <m/>
    <m/>
    <m/>
    <m/>
    <m/>
    <m/>
    <m/>
    <m/>
    <m/>
    <m/>
  </r>
  <r>
    <n v="2026"/>
    <n v="3"/>
    <m/>
    <m/>
    <m/>
    <m/>
    <m/>
    <m/>
    <m/>
    <m/>
    <m/>
    <m/>
    <m/>
    <m/>
    <m/>
    <m/>
    <m/>
    <m/>
    <m/>
    <m/>
    <m/>
    <m/>
    <m/>
    <m/>
    <m/>
  </r>
  <r>
    <n v="2026"/>
    <n v="4"/>
    <m/>
    <m/>
    <m/>
    <m/>
    <m/>
    <m/>
    <m/>
    <m/>
    <m/>
    <m/>
    <m/>
    <m/>
    <m/>
    <m/>
    <m/>
    <m/>
    <m/>
    <m/>
    <m/>
    <m/>
    <m/>
    <m/>
    <m/>
  </r>
  <r>
    <n v="2026"/>
    <n v="5"/>
    <m/>
    <m/>
    <m/>
    <m/>
    <m/>
    <m/>
    <m/>
    <m/>
    <m/>
    <m/>
    <m/>
    <m/>
    <m/>
    <m/>
    <m/>
    <m/>
    <m/>
    <m/>
    <m/>
    <m/>
    <m/>
    <m/>
    <m/>
  </r>
  <r>
    <n v="2026"/>
    <n v="6"/>
    <m/>
    <m/>
    <m/>
    <m/>
    <m/>
    <m/>
    <m/>
    <m/>
    <m/>
    <m/>
    <m/>
    <m/>
    <m/>
    <m/>
    <m/>
    <m/>
    <m/>
    <m/>
    <m/>
    <m/>
    <m/>
    <m/>
    <m/>
  </r>
  <r>
    <n v="2026"/>
    <n v="7"/>
    <m/>
    <m/>
    <m/>
    <m/>
    <m/>
    <m/>
    <m/>
    <m/>
    <m/>
    <m/>
    <m/>
    <m/>
    <m/>
    <m/>
    <m/>
    <m/>
    <m/>
    <m/>
    <m/>
    <m/>
    <m/>
    <m/>
    <m/>
  </r>
  <r>
    <n v="2026"/>
    <n v="8"/>
    <m/>
    <m/>
    <m/>
    <m/>
    <m/>
    <m/>
    <m/>
    <m/>
    <m/>
    <m/>
    <m/>
    <m/>
    <m/>
    <m/>
    <m/>
    <m/>
    <m/>
    <m/>
    <m/>
    <m/>
    <m/>
    <m/>
    <m/>
  </r>
  <r>
    <n v="2026"/>
    <n v="9"/>
    <m/>
    <m/>
    <m/>
    <m/>
    <m/>
    <m/>
    <m/>
    <m/>
    <m/>
    <m/>
    <m/>
    <m/>
    <m/>
    <m/>
    <m/>
    <m/>
    <m/>
    <m/>
    <m/>
    <m/>
    <m/>
    <m/>
    <m/>
  </r>
  <r>
    <n v="2026"/>
    <n v="10"/>
    <m/>
    <m/>
    <m/>
    <m/>
    <m/>
    <m/>
    <m/>
    <m/>
    <m/>
    <m/>
    <m/>
    <m/>
    <m/>
    <m/>
    <m/>
    <m/>
    <m/>
    <m/>
    <m/>
    <m/>
    <m/>
    <m/>
    <m/>
  </r>
  <r>
    <n v="2026"/>
    <n v="11"/>
    <m/>
    <m/>
    <m/>
    <m/>
    <m/>
    <m/>
    <m/>
    <m/>
    <m/>
    <m/>
    <m/>
    <m/>
    <m/>
    <m/>
    <m/>
    <m/>
    <m/>
    <m/>
    <m/>
    <m/>
    <m/>
    <m/>
    <m/>
  </r>
  <r>
    <n v="2026"/>
    <n v="12"/>
    <m/>
    <m/>
    <m/>
    <m/>
    <m/>
    <m/>
    <m/>
    <m/>
    <m/>
    <m/>
    <m/>
    <m/>
    <m/>
    <m/>
    <m/>
    <m/>
    <m/>
    <m/>
    <m/>
    <m/>
    <m/>
    <m/>
    <m/>
  </r>
  <r>
    <n v="2027"/>
    <n v="1"/>
    <m/>
    <m/>
    <m/>
    <m/>
    <m/>
    <m/>
    <m/>
    <m/>
    <m/>
    <m/>
    <m/>
    <m/>
    <m/>
    <m/>
    <m/>
    <m/>
    <m/>
    <m/>
    <m/>
    <m/>
    <m/>
    <m/>
    <m/>
  </r>
  <r>
    <n v="2027"/>
    <n v="2"/>
    <m/>
    <m/>
    <m/>
    <m/>
    <m/>
    <m/>
    <m/>
    <m/>
    <m/>
    <m/>
    <m/>
    <m/>
    <m/>
    <m/>
    <m/>
    <m/>
    <m/>
    <m/>
    <m/>
    <m/>
    <m/>
    <m/>
    <m/>
  </r>
  <r>
    <n v="2027"/>
    <n v="3"/>
    <m/>
    <m/>
    <m/>
    <m/>
    <m/>
    <m/>
    <m/>
    <m/>
    <m/>
    <m/>
    <m/>
    <m/>
    <m/>
    <m/>
    <m/>
    <m/>
    <m/>
    <m/>
    <m/>
    <m/>
    <m/>
    <m/>
    <m/>
  </r>
  <r>
    <n v="2027"/>
    <n v="4"/>
    <m/>
    <m/>
    <m/>
    <m/>
    <m/>
    <m/>
    <m/>
    <m/>
    <m/>
    <m/>
    <m/>
    <m/>
    <m/>
    <m/>
    <m/>
    <m/>
    <m/>
    <m/>
    <m/>
    <m/>
    <m/>
    <m/>
    <m/>
  </r>
  <r>
    <n v="2027"/>
    <n v="5"/>
    <m/>
    <m/>
    <m/>
    <m/>
    <m/>
    <m/>
    <m/>
    <m/>
    <m/>
    <m/>
    <m/>
    <m/>
    <m/>
    <m/>
    <m/>
    <m/>
    <m/>
    <m/>
    <m/>
    <m/>
    <m/>
    <m/>
    <m/>
  </r>
  <r>
    <n v="2027"/>
    <n v="6"/>
    <m/>
    <m/>
    <m/>
    <m/>
    <m/>
    <m/>
    <m/>
    <m/>
    <m/>
    <m/>
    <m/>
    <m/>
    <m/>
    <m/>
    <m/>
    <m/>
    <m/>
    <m/>
    <m/>
    <m/>
    <m/>
    <m/>
    <m/>
  </r>
  <r>
    <n v="2027"/>
    <n v="7"/>
    <m/>
    <m/>
    <m/>
    <m/>
    <m/>
    <m/>
    <m/>
    <m/>
    <m/>
    <m/>
    <m/>
    <m/>
    <m/>
    <m/>
    <m/>
    <m/>
    <m/>
    <m/>
    <m/>
    <m/>
    <m/>
    <m/>
    <m/>
  </r>
  <r>
    <n v="2027"/>
    <n v="8"/>
    <m/>
    <m/>
    <m/>
    <m/>
    <m/>
    <m/>
    <m/>
    <m/>
    <m/>
    <m/>
    <m/>
    <m/>
    <m/>
    <m/>
    <m/>
    <m/>
    <m/>
    <m/>
    <m/>
    <m/>
    <m/>
    <m/>
    <m/>
  </r>
  <r>
    <n v="2027"/>
    <n v="9"/>
    <m/>
    <m/>
    <m/>
    <m/>
    <m/>
    <m/>
    <m/>
    <m/>
    <m/>
    <m/>
    <m/>
    <m/>
    <m/>
    <m/>
    <m/>
    <m/>
    <m/>
    <m/>
    <m/>
    <m/>
    <m/>
    <m/>
    <m/>
  </r>
  <r>
    <n v="2027"/>
    <n v="10"/>
    <m/>
    <m/>
    <m/>
    <m/>
    <m/>
    <m/>
    <m/>
    <m/>
    <m/>
    <m/>
    <m/>
    <m/>
    <m/>
    <m/>
    <m/>
    <m/>
    <m/>
    <m/>
    <m/>
    <m/>
    <m/>
    <m/>
    <m/>
  </r>
  <r>
    <n v="2027"/>
    <n v="11"/>
    <m/>
    <m/>
    <m/>
    <m/>
    <m/>
    <m/>
    <m/>
    <m/>
    <m/>
    <m/>
    <m/>
    <m/>
    <m/>
    <m/>
    <m/>
    <m/>
    <m/>
    <m/>
    <m/>
    <m/>
    <m/>
    <m/>
    <m/>
  </r>
  <r>
    <n v="2027"/>
    <n v="12"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6A425-B62C-4961-870F-DB5DC4B54341}" name="ピボットテーブル1" cacheId="117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C4" firstHeaderRow="0" firstDataRow="1" firstDataCol="0"/>
  <pivotFields count="25"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合計 / 基本給" fld="2" baseField="0" baseItem="0"/>
    <dataField name="合計 / 時間外手当" fld="3" baseField="0" baseItem="0"/>
    <dataField name="合計 / 技術手当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B1B0-1EC9-46DD-835C-0B203F5411DA}">
  <dimension ref="A3:C8"/>
  <sheetViews>
    <sheetView workbookViewId="0">
      <selection activeCell="E9" sqref="E9"/>
    </sheetView>
  </sheetViews>
  <sheetFormatPr defaultRowHeight="15.75"/>
  <cols>
    <col min="1" max="1" width="12.375" bestFit="1" customWidth="1"/>
    <col min="2" max="2" width="16.125" bestFit="1" customWidth="1"/>
    <col min="3" max="3" width="14.25" bestFit="1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5">
        <v>1182000</v>
      </c>
      <c r="B4" s="5">
        <v>7763</v>
      </c>
      <c r="C4" s="5">
        <v>228000</v>
      </c>
    </row>
    <row r="8" spans="1:3">
      <c r="B8" t="s">
        <v>3</v>
      </c>
      <c r="C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3490-74DC-42D1-A3F3-357E3EC034CF}">
  <dimension ref="A1:Y4"/>
  <sheetViews>
    <sheetView workbookViewId="0">
      <selection activeCell="Y5" sqref="Y5"/>
    </sheetView>
  </sheetViews>
  <sheetFormatPr defaultRowHeight="15.75"/>
  <cols>
    <col min="3" max="3" width="9.125" bestFit="1" customWidth="1"/>
    <col min="11" max="11" width="10.25" bestFit="1" customWidth="1"/>
    <col min="13" max="13" width="9.125" bestFit="1" customWidth="1"/>
    <col min="18" max="18" width="9.125" bestFit="1" customWidth="1"/>
    <col min="25" max="25" width="10.25" bestFit="1" customWidth="1"/>
  </cols>
  <sheetData>
    <row r="1" spans="1:25" ht="16.5">
      <c r="A1" s="2" t="s">
        <v>5</v>
      </c>
      <c r="B1" s="2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4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6" t="s">
        <v>29</v>
      </c>
    </row>
    <row r="2" spans="1:25" ht="16.5">
      <c r="A2">
        <v>2023</v>
      </c>
      <c r="B2" t="s">
        <v>30</v>
      </c>
      <c r="C2" s="1"/>
      <c r="D2" s="1"/>
      <c r="E2" s="1"/>
      <c r="F2" s="1"/>
      <c r="G2" s="1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6"/>
    </row>
    <row r="3" spans="1:25" ht="16.5">
      <c r="A3">
        <v>2024</v>
      </c>
      <c r="B3" t="s">
        <v>31</v>
      </c>
      <c r="C3" s="1"/>
      <c r="D3" s="1"/>
      <c r="E3" s="1"/>
      <c r="F3" s="1"/>
      <c r="G3" s="1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6"/>
    </row>
    <row r="4" spans="1:25" ht="16.5">
      <c r="A4">
        <v>2024</v>
      </c>
      <c r="B4" t="s">
        <v>30</v>
      </c>
      <c r="C4" s="1">
        <v>180000</v>
      </c>
      <c r="D4" s="1"/>
      <c r="E4" s="1"/>
      <c r="F4" s="1"/>
      <c r="G4" s="1"/>
      <c r="H4" s="1"/>
      <c r="I4" s="1"/>
      <c r="J4" s="1"/>
      <c r="K4" s="4">
        <v>180000</v>
      </c>
      <c r="L4" s="1"/>
      <c r="M4" s="1">
        <v>180000</v>
      </c>
      <c r="N4" s="1">
        <v>10422</v>
      </c>
      <c r="O4" s="1">
        <v>17385</v>
      </c>
      <c r="P4" s="1">
        <v>990</v>
      </c>
      <c r="Q4" s="1">
        <v>28797</v>
      </c>
      <c r="R4" s="1">
        <v>151203</v>
      </c>
      <c r="S4" s="1">
        <v>6175</v>
      </c>
      <c r="T4" s="1"/>
      <c r="U4" s="1"/>
      <c r="V4" s="1"/>
      <c r="W4" s="1"/>
      <c r="X4" s="1">
        <v>6175</v>
      </c>
      <c r="Y4" s="6">
        <v>145028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topLeftCell="A10" workbookViewId="0">
      <selection activeCell="Y32" sqref="Y32"/>
    </sheetView>
  </sheetViews>
  <sheetFormatPr defaultRowHeight="16.5"/>
  <cols>
    <col min="1" max="1" width="4.875" bestFit="1" customWidth="1"/>
    <col min="2" max="2" width="2.875" bestFit="1" customWidth="1"/>
    <col min="3" max="3" width="9.125" style="1" bestFit="1" customWidth="1"/>
    <col min="4" max="4" width="10.125" style="1" bestFit="1" customWidth="1"/>
    <col min="5" max="10" width="9" style="1"/>
    <col min="11" max="11" width="10.25" style="4" bestFit="1" customWidth="1"/>
    <col min="12" max="12" width="9" style="1"/>
    <col min="13" max="13" width="12" style="1" bestFit="1" customWidth="1"/>
    <col min="14" max="17" width="9" style="1"/>
    <col min="18" max="18" width="9.125" style="1" bestFit="1" customWidth="1"/>
    <col min="19" max="24" width="9" style="1"/>
    <col min="25" max="25" width="10.25" style="6" bestFit="1" customWidth="1"/>
  </cols>
  <sheetData>
    <row r="1" spans="1:25" s="2" customFormat="1">
      <c r="A1" s="2" t="s">
        <v>5</v>
      </c>
      <c r="B1" s="2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4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6" t="s">
        <v>29</v>
      </c>
    </row>
    <row r="2" spans="1:25">
      <c r="A2">
        <v>2023</v>
      </c>
      <c r="B2">
        <v>11</v>
      </c>
    </row>
    <row r="3" spans="1:25">
      <c r="A3">
        <v>2023</v>
      </c>
      <c r="B3">
        <v>12</v>
      </c>
    </row>
    <row r="4" spans="1:25">
      <c r="A4">
        <v>2024</v>
      </c>
      <c r="B4">
        <v>1</v>
      </c>
    </row>
    <row r="5" spans="1:25">
      <c r="A5">
        <v>2024</v>
      </c>
      <c r="B5">
        <v>2</v>
      </c>
    </row>
    <row r="6" spans="1:25">
      <c r="A6">
        <v>2024</v>
      </c>
      <c r="B6">
        <v>3</v>
      </c>
    </row>
    <row r="7" spans="1:25">
      <c r="A7">
        <v>2024</v>
      </c>
      <c r="B7">
        <v>4</v>
      </c>
    </row>
    <row r="8" spans="1:25">
      <c r="A8">
        <v>2024</v>
      </c>
      <c r="B8">
        <v>5</v>
      </c>
    </row>
    <row r="9" spans="1:25">
      <c r="A9">
        <v>2024</v>
      </c>
      <c r="B9">
        <v>6</v>
      </c>
    </row>
    <row r="10" spans="1:25">
      <c r="A10">
        <v>2024</v>
      </c>
      <c r="B10">
        <v>7</v>
      </c>
    </row>
    <row r="11" spans="1:25">
      <c r="A11">
        <v>2024</v>
      </c>
      <c r="B11">
        <v>8</v>
      </c>
    </row>
    <row r="12" spans="1:25">
      <c r="A12">
        <v>2024</v>
      </c>
      <c r="B12">
        <v>9</v>
      </c>
    </row>
    <row r="13" spans="1:25">
      <c r="A13">
        <v>2024</v>
      </c>
      <c r="B13">
        <v>10</v>
      </c>
    </row>
    <row r="14" spans="1:25">
      <c r="A14">
        <v>2024</v>
      </c>
      <c r="B14">
        <v>11</v>
      </c>
    </row>
    <row r="15" spans="1:25">
      <c r="A15">
        <v>2024</v>
      </c>
      <c r="B15">
        <v>12</v>
      </c>
    </row>
    <row r="16" spans="1:25">
      <c r="A16">
        <v>2025</v>
      </c>
      <c r="B16">
        <v>1</v>
      </c>
    </row>
    <row r="17" spans="1:25">
      <c r="A17">
        <v>2025</v>
      </c>
      <c r="B17">
        <v>2</v>
      </c>
    </row>
    <row r="18" spans="1:25">
      <c r="A18">
        <v>2025</v>
      </c>
      <c r="B18">
        <v>3</v>
      </c>
    </row>
    <row r="19" spans="1:25">
      <c r="A19">
        <v>2025</v>
      </c>
      <c r="B19">
        <v>4</v>
      </c>
    </row>
    <row r="20" spans="1:25">
      <c r="A20">
        <v>2025</v>
      </c>
      <c r="B20">
        <v>5</v>
      </c>
      <c r="C20" s="1">
        <v>197000</v>
      </c>
      <c r="D20" s="1">
        <v>0</v>
      </c>
      <c r="E20" s="1">
        <v>38000</v>
      </c>
      <c r="F20" s="1">
        <v>10000</v>
      </c>
      <c r="G20" s="1">
        <v>15000</v>
      </c>
      <c r="J20" s="1">
        <v>38900</v>
      </c>
      <c r="K20" s="4">
        <v>298900</v>
      </c>
      <c r="L20" s="1">
        <v>38900</v>
      </c>
      <c r="M20" s="1">
        <v>260000</v>
      </c>
      <c r="N20" s="1">
        <v>14865</v>
      </c>
      <c r="O20" s="1">
        <v>27450</v>
      </c>
      <c r="P20" s="1">
        <v>1793</v>
      </c>
      <c r="Q20" s="1">
        <v>44108</v>
      </c>
      <c r="R20" s="1">
        <v>215892</v>
      </c>
      <c r="S20" s="1">
        <v>5340</v>
      </c>
    </row>
    <row r="21" spans="1:25">
      <c r="A21">
        <v>2025</v>
      </c>
      <c r="B21">
        <v>6</v>
      </c>
      <c r="C21" s="1">
        <v>197000</v>
      </c>
      <c r="D21" s="1">
        <v>0</v>
      </c>
      <c r="E21" s="1">
        <v>38000</v>
      </c>
      <c r="F21" s="1">
        <v>10000</v>
      </c>
      <c r="G21" s="1">
        <v>15000</v>
      </c>
      <c r="J21" s="1">
        <v>38900</v>
      </c>
      <c r="K21" s="4">
        <v>298900</v>
      </c>
      <c r="L21" s="1">
        <v>38900</v>
      </c>
      <c r="M21" s="1">
        <v>260000</v>
      </c>
      <c r="N21" s="1">
        <v>14865</v>
      </c>
      <c r="O21" s="1">
        <v>27450</v>
      </c>
      <c r="P21" s="1">
        <v>1793</v>
      </c>
      <c r="Q21" s="1">
        <v>44108</v>
      </c>
      <c r="R21" s="1">
        <v>215892</v>
      </c>
      <c r="S21" s="1">
        <v>5340</v>
      </c>
      <c r="X21" s="1">
        <v>5340</v>
      </c>
      <c r="Y21" s="6">
        <v>249452</v>
      </c>
    </row>
    <row r="22" spans="1:25">
      <c r="A22">
        <v>2025</v>
      </c>
      <c r="B22">
        <v>7</v>
      </c>
      <c r="C22" s="1">
        <v>197000</v>
      </c>
      <c r="D22" s="1">
        <v>0</v>
      </c>
      <c r="E22" s="1">
        <v>38000</v>
      </c>
      <c r="F22" s="1">
        <v>10000</v>
      </c>
      <c r="G22" s="1">
        <v>15000</v>
      </c>
      <c r="J22" s="1">
        <v>38900</v>
      </c>
      <c r="K22" s="4">
        <v>298900</v>
      </c>
      <c r="L22" s="1">
        <v>38900</v>
      </c>
      <c r="M22" s="1">
        <v>260000</v>
      </c>
      <c r="N22" s="1">
        <v>14865</v>
      </c>
      <c r="O22" s="1">
        <v>27450</v>
      </c>
      <c r="P22" s="1">
        <v>1793</v>
      </c>
      <c r="Q22" s="1">
        <v>44108</v>
      </c>
      <c r="R22" s="1">
        <v>215892</v>
      </c>
      <c r="S22" s="1">
        <v>5340</v>
      </c>
    </row>
    <row r="23" spans="1:25">
      <c r="A23">
        <v>2025</v>
      </c>
      <c r="B23">
        <v>8</v>
      </c>
      <c r="C23" s="1">
        <v>197000</v>
      </c>
      <c r="D23" s="1">
        <v>0</v>
      </c>
      <c r="E23" s="1">
        <v>38000</v>
      </c>
      <c r="F23" s="1">
        <v>10000</v>
      </c>
      <c r="G23" s="1">
        <v>15000</v>
      </c>
      <c r="J23" s="1">
        <v>38900</v>
      </c>
      <c r="K23" s="4">
        <v>298900</v>
      </c>
      <c r="L23" s="1">
        <v>38900</v>
      </c>
      <c r="M23" s="1">
        <v>260000</v>
      </c>
      <c r="N23" s="1">
        <v>14865</v>
      </c>
      <c r="O23" s="1">
        <v>27450</v>
      </c>
      <c r="P23" s="1">
        <v>1793</v>
      </c>
      <c r="Q23" s="1">
        <v>44108</v>
      </c>
      <c r="R23" s="1">
        <v>215892</v>
      </c>
      <c r="S23" s="1">
        <v>5340</v>
      </c>
      <c r="X23" s="1">
        <v>5340</v>
      </c>
      <c r="Y23" s="6">
        <v>249452</v>
      </c>
    </row>
    <row r="24" spans="1:25">
      <c r="A24">
        <v>2025</v>
      </c>
      <c r="B24">
        <v>9</v>
      </c>
      <c r="C24" s="1">
        <v>197000</v>
      </c>
      <c r="D24" s="1">
        <v>0</v>
      </c>
      <c r="E24" s="1">
        <v>38000</v>
      </c>
      <c r="F24" s="1">
        <v>10000</v>
      </c>
      <c r="G24" s="1">
        <v>15000</v>
      </c>
      <c r="J24" s="1">
        <v>38900</v>
      </c>
      <c r="K24" s="4">
        <v>298900</v>
      </c>
      <c r="L24" s="1">
        <v>38900</v>
      </c>
      <c r="M24" s="1">
        <v>260000</v>
      </c>
      <c r="N24" s="1">
        <v>14867</v>
      </c>
      <c r="O24" s="1">
        <v>27450</v>
      </c>
      <c r="P24" s="1">
        <v>1644</v>
      </c>
      <c r="Q24" s="1">
        <v>43959</v>
      </c>
      <c r="R24" s="1">
        <v>216041</v>
      </c>
      <c r="S24" s="1">
        <v>5340</v>
      </c>
      <c r="X24" s="1">
        <v>5340</v>
      </c>
      <c r="Y24" s="6">
        <v>249601</v>
      </c>
    </row>
    <row r="25" spans="1:25">
      <c r="A25">
        <v>2025</v>
      </c>
      <c r="B25">
        <v>10</v>
      </c>
      <c r="C25" s="1">
        <v>197000</v>
      </c>
      <c r="D25" s="1">
        <v>7763</v>
      </c>
      <c r="E25" s="1">
        <v>38000</v>
      </c>
      <c r="F25" s="1">
        <v>10000</v>
      </c>
      <c r="G25" s="1">
        <v>15000</v>
      </c>
      <c r="J25" s="1">
        <v>38900</v>
      </c>
      <c r="K25" s="4">
        <v>306663</v>
      </c>
      <c r="L25" s="1">
        <v>38900</v>
      </c>
      <c r="M25" s="1">
        <v>267763</v>
      </c>
      <c r="N25" s="1">
        <v>17250</v>
      </c>
      <c r="O25" s="1">
        <v>27450</v>
      </c>
      <c r="P25" s="1">
        <v>1687</v>
      </c>
      <c r="Q25" s="1">
        <v>46387</v>
      </c>
      <c r="R25" s="1">
        <v>221376</v>
      </c>
      <c r="S25" s="1">
        <v>5560</v>
      </c>
      <c r="X25" s="1">
        <v>5560</v>
      </c>
      <c r="Y25" s="6">
        <v>254716</v>
      </c>
    </row>
    <row r="26" spans="1:25">
      <c r="A26">
        <v>2025</v>
      </c>
      <c r="B26">
        <v>11</v>
      </c>
      <c r="C26" s="1">
        <v>197000</v>
      </c>
      <c r="D26" s="1">
        <v>9981</v>
      </c>
      <c r="E26" s="1">
        <v>38000</v>
      </c>
      <c r="F26" s="1">
        <v>10000</v>
      </c>
      <c r="G26" s="1">
        <v>15000</v>
      </c>
      <c r="J26" s="1">
        <v>38900</v>
      </c>
      <c r="K26" s="4">
        <v>308881</v>
      </c>
      <c r="L26" s="1">
        <v>38900</v>
      </c>
      <c r="M26" s="1">
        <v>269981</v>
      </c>
      <c r="N26" s="1">
        <v>17250</v>
      </c>
      <c r="O26" s="1">
        <v>27450</v>
      </c>
      <c r="P26" s="1">
        <v>1699</v>
      </c>
      <c r="Q26" s="1">
        <v>46399</v>
      </c>
      <c r="R26" s="1">
        <v>223582</v>
      </c>
      <c r="S26" s="1">
        <v>5560</v>
      </c>
      <c r="X26" s="1">
        <v>5560</v>
      </c>
      <c r="Y26" s="6">
        <v>256922</v>
      </c>
    </row>
    <row r="27" spans="1:25">
      <c r="A27">
        <v>2025</v>
      </c>
      <c r="B27">
        <v>12</v>
      </c>
      <c r="C27" s="1">
        <v>197000</v>
      </c>
      <c r="D27" s="1">
        <v>22180</v>
      </c>
      <c r="E27" s="1">
        <v>38000</v>
      </c>
      <c r="F27" s="1">
        <v>10000</v>
      </c>
      <c r="G27" s="1">
        <v>15000</v>
      </c>
      <c r="J27" s="1">
        <v>38900</v>
      </c>
      <c r="K27" s="4">
        <v>321080</v>
      </c>
      <c r="L27" s="1">
        <v>38900</v>
      </c>
      <c r="M27" s="1">
        <v>282180</v>
      </c>
      <c r="N27" s="1">
        <v>17250</v>
      </c>
      <c r="O27" s="1">
        <v>27450</v>
      </c>
      <c r="P27" s="1">
        <v>1699</v>
      </c>
      <c r="Q27" s="1">
        <v>46466</v>
      </c>
      <c r="R27" s="1">
        <v>235714</v>
      </c>
      <c r="S27" s="1">
        <v>5990</v>
      </c>
      <c r="X27" s="1">
        <v>5990</v>
      </c>
      <c r="Y27" s="6">
        <v>268624</v>
      </c>
    </row>
    <row r="28" spans="1:25">
      <c r="A28">
        <v>2026</v>
      </c>
      <c r="B28">
        <v>1</v>
      </c>
      <c r="C28" s="1">
        <v>197000</v>
      </c>
      <c r="D28" s="1">
        <v>209838</v>
      </c>
      <c r="E28" s="1">
        <v>38000</v>
      </c>
      <c r="F28" s="1">
        <v>10000</v>
      </c>
      <c r="G28" s="1">
        <v>15000</v>
      </c>
      <c r="J28" s="1">
        <v>38900</v>
      </c>
      <c r="K28" s="4">
        <v>508738</v>
      </c>
      <c r="L28" s="1">
        <v>38900</v>
      </c>
      <c r="M28" s="1">
        <v>469838</v>
      </c>
      <c r="N28" s="1">
        <v>17250</v>
      </c>
      <c r="O28" s="1">
        <v>27450</v>
      </c>
      <c r="P28" s="1">
        <v>2798</v>
      </c>
      <c r="Q28" s="1">
        <v>47498</v>
      </c>
      <c r="R28" s="1">
        <v>422340</v>
      </c>
      <c r="S28" s="1">
        <v>17610</v>
      </c>
      <c r="X28" s="1">
        <v>17610</v>
      </c>
      <c r="Y28" s="6">
        <v>443630</v>
      </c>
    </row>
    <row r="29" spans="1:25">
      <c r="A29">
        <v>2026</v>
      </c>
      <c r="B29">
        <v>2</v>
      </c>
      <c r="C29" s="1">
        <v>197000</v>
      </c>
      <c r="D29" s="1">
        <v>118004</v>
      </c>
      <c r="E29" s="1">
        <v>38000</v>
      </c>
      <c r="F29" s="1">
        <v>10000</v>
      </c>
      <c r="G29" s="1">
        <v>15000</v>
      </c>
      <c r="J29" s="1">
        <v>42390</v>
      </c>
      <c r="K29" s="4">
        <v>420394</v>
      </c>
      <c r="L29" s="1">
        <v>42390</v>
      </c>
      <c r="M29" s="1">
        <v>378004</v>
      </c>
      <c r="N29" s="1">
        <v>17250</v>
      </c>
      <c r="O29" s="1">
        <v>27450</v>
      </c>
      <c r="P29" s="1">
        <v>2312</v>
      </c>
      <c r="Q29" s="1">
        <v>47012</v>
      </c>
      <c r="R29" s="1">
        <v>330992</v>
      </c>
      <c r="S29" s="1">
        <v>10020</v>
      </c>
      <c r="X29" s="1">
        <v>10020</v>
      </c>
      <c r="Y29" s="6">
        <v>363362</v>
      </c>
    </row>
    <row r="30" spans="1:25">
      <c r="A30">
        <v>2026</v>
      </c>
      <c r="B30">
        <v>3</v>
      </c>
      <c r="C30" s="1">
        <v>197000</v>
      </c>
      <c r="D30" s="1">
        <v>62104</v>
      </c>
      <c r="E30" s="1">
        <v>38000</v>
      </c>
      <c r="F30" s="1">
        <v>10000</v>
      </c>
      <c r="G30" s="1">
        <v>15000</v>
      </c>
      <c r="J30" s="1">
        <v>42390</v>
      </c>
      <c r="K30" s="4">
        <v>364494</v>
      </c>
      <c r="L30" s="1">
        <v>42390</v>
      </c>
      <c r="M30" s="1">
        <v>322104</v>
      </c>
      <c r="N30" s="1">
        <v>17250</v>
      </c>
      <c r="O30" s="1">
        <v>27450</v>
      </c>
      <c r="P30" s="1">
        <v>2005</v>
      </c>
      <c r="Q30" s="1">
        <v>46705</v>
      </c>
      <c r="R30" s="1">
        <v>275399</v>
      </c>
      <c r="S30" s="1">
        <v>7490</v>
      </c>
      <c r="X30" s="1">
        <v>7490</v>
      </c>
      <c r="Y30" s="6">
        <v>310299</v>
      </c>
    </row>
    <row r="31" spans="1:25">
      <c r="A31">
        <v>2026</v>
      </c>
      <c r="B31">
        <v>4</v>
      </c>
      <c r="C31" s="1">
        <v>197000</v>
      </c>
      <c r="D31" s="1">
        <v>94000</v>
      </c>
      <c r="E31" s="1">
        <v>40000</v>
      </c>
      <c r="F31" s="1">
        <v>10000</v>
      </c>
      <c r="G31" s="1">
        <v>15000</v>
      </c>
      <c r="J31" s="1">
        <v>42390</v>
      </c>
      <c r="K31" s="4">
        <v>399390</v>
      </c>
      <c r="L31" s="1">
        <v>42390</v>
      </c>
      <c r="M31" s="1">
        <v>357000</v>
      </c>
      <c r="N31" s="1">
        <v>17205</v>
      </c>
      <c r="O31" s="1">
        <v>27450</v>
      </c>
      <c r="P31" s="1">
        <v>2197</v>
      </c>
      <c r="Q31" s="1">
        <v>46852</v>
      </c>
      <c r="R31" s="1">
        <v>310147</v>
      </c>
      <c r="S31" s="1">
        <v>9160</v>
      </c>
      <c r="X31" s="1">
        <v>9160</v>
      </c>
      <c r="Y31" s="6">
        <v>343378</v>
      </c>
    </row>
    <row r="32" spans="1:25">
      <c r="A32">
        <v>2026</v>
      </c>
      <c r="B32">
        <v>5</v>
      </c>
    </row>
    <row r="33" spans="1:2">
      <c r="A33">
        <v>2026</v>
      </c>
      <c r="B33">
        <v>6</v>
      </c>
    </row>
    <row r="34" spans="1:2">
      <c r="A34">
        <v>2026</v>
      </c>
      <c r="B34">
        <v>7</v>
      </c>
    </row>
    <row r="35" spans="1:2">
      <c r="A35">
        <v>2026</v>
      </c>
      <c r="B35">
        <v>8</v>
      </c>
    </row>
    <row r="36" spans="1:2">
      <c r="A36">
        <v>2026</v>
      </c>
      <c r="B36">
        <v>9</v>
      </c>
    </row>
    <row r="37" spans="1:2">
      <c r="A37">
        <v>2026</v>
      </c>
      <c r="B37">
        <v>10</v>
      </c>
    </row>
    <row r="38" spans="1:2">
      <c r="A38">
        <v>2026</v>
      </c>
      <c r="B38">
        <v>11</v>
      </c>
    </row>
    <row r="39" spans="1:2">
      <c r="A39">
        <v>2026</v>
      </c>
      <c r="B39">
        <v>12</v>
      </c>
    </row>
    <row r="40" spans="1:2">
      <c r="A40">
        <v>2027</v>
      </c>
      <c r="B40">
        <v>1</v>
      </c>
    </row>
    <row r="41" spans="1:2">
      <c r="A41">
        <v>2027</v>
      </c>
      <c r="B41">
        <v>2</v>
      </c>
    </row>
    <row r="42" spans="1:2">
      <c r="A42">
        <v>2027</v>
      </c>
      <c r="B42">
        <v>3</v>
      </c>
    </row>
    <row r="43" spans="1:2">
      <c r="A43">
        <v>2027</v>
      </c>
      <c r="B43">
        <v>4</v>
      </c>
    </row>
    <row r="44" spans="1:2">
      <c r="A44">
        <v>2027</v>
      </c>
      <c r="B44">
        <v>5</v>
      </c>
    </row>
    <row r="45" spans="1:2">
      <c r="A45">
        <v>2027</v>
      </c>
      <c r="B45">
        <v>6</v>
      </c>
    </row>
    <row r="46" spans="1:2">
      <c r="A46">
        <v>2027</v>
      </c>
      <c r="B46">
        <v>7</v>
      </c>
    </row>
    <row r="47" spans="1:2">
      <c r="A47">
        <v>2027</v>
      </c>
      <c r="B47">
        <v>8</v>
      </c>
    </row>
    <row r="48" spans="1:2">
      <c r="A48">
        <v>2027</v>
      </c>
      <c r="B48">
        <v>9</v>
      </c>
    </row>
    <row r="49" spans="1:2">
      <c r="A49">
        <v>2027</v>
      </c>
      <c r="B49">
        <v>10</v>
      </c>
    </row>
    <row r="50" spans="1:2">
      <c r="A50">
        <v>2027</v>
      </c>
      <c r="B50">
        <v>11</v>
      </c>
    </row>
    <row r="51" spans="1:2">
      <c r="A51">
        <v>2027</v>
      </c>
      <c r="B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2025-11-04T23:15:58Z</dcterms:created>
  <dcterms:modified xsi:type="dcterms:W3CDTF">2026-05-21T00:31:24Z</dcterms:modified>
  <cp:category/>
  <cp:contentStatus/>
</cp:coreProperties>
</file>