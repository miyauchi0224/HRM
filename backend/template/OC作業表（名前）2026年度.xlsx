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tsudaKazuhiko\Desktop\OC業務\"/>
    </mc:Choice>
  </mc:AlternateContent>
  <xr:revisionPtr revIDLastSave="0" documentId="13_ncr:1_{FB98E4A8-DA5C-40E8-86C1-BDFF4E2FA60E}" xr6:coauthVersionLast="47" xr6:coauthVersionMax="47" xr10:uidLastSave="{00000000-0000-0000-0000-000000000000}"/>
  <bookViews>
    <workbookView xWindow="28680" yWindow="-120" windowWidth="29040" windowHeight="15720" tabRatio="681" activeTab="2" xr2:uid="{00000000-000D-0000-FFFF-FFFF00000000}"/>
  </bookViews>
  <sheets>
    <sheet name="件番" sheetId="7" r:id="rId1"/>
    <sheet name="3月" sheetId="39" r:id="rId2"/>
    <sheet name="4月" sheetId="18" r:id="rId3"/>
    <sheet name="5月" sheetId="19" r:id="rId4"/>
    <sheet name="6月" sheetId="20" r:id="rId5"/>
    <sheet name="7月" sheetId="21" r:id="rId6"/>
    <sheet name="8月" sheetId="22" r:id="rId7"/>
    <sheet name="9月" sheetId="23" r:id="rId8"/>
    <sheet name="10月" sheetId="24" r:id="rId9"/>
    <sheet name="11月" sheetId="25" r:id="rId10"/>
    <sheet name="12月" sheetId="26" r:id="rId11"/>
    <sheet name="1月" sheetId="27" r:id="rId12"/>
    <sheet name="2月" sheetId="28" r:id="rId13"/>
    <sheet name="2027年3月" sheetId="29" r:id="rId14"/>
  </sheets>
  <definedNames>
    <definedName name="_xlnm._FilterDatabase" localSheetId="0" hidden="1">件番!$A$2:$D$58</definedName>
    <definedName name="_xlnm.Print_Area" localSheetId="6">'8月'!$B$2:$Z$50</definedName>
    <definedName name="_xlnm.Print_Area" localSheetId="7">'9月'!$B$2:$Z$50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5" i="39" l="1"/>
  <c r="Z25" i="39" s="1"/>
  <c r="Y19" i="39"/>
  <c r="Z19" i="39" s="1"/>
  <c r="Y12" i="39"/>
  <c r="Z12" i="39" s="1"/>
  <c r="Y26" i="39"/>
  <c r="Z26" i="39" s="1"/>
  <c r="Y33" i="39"/>
  <c r="Z33" i="39" s="1"/>
  <c r="AC35" i="39"/>
  <c r="AA35" i="39" s="1"/>
  <c r="Y35" i="39"/>
  <c r="Z35" i="39" s="1"/>
  <c r="Z28" i="39"/>
  <c r="Y28" i="39"/>
  <c r="AC28" i="39" s="1"/>
  <c r="AA28" i="39" s="1"/>
  <c r="Y21" i="39"/>
  <c r="AC21" i="39" s="1"/>
  <c r="AA21" i="39" s="1"/>
  <c r="AC14" i="39"/>
  <c r="AA14" i="39" s="1"/>
  <c r="Y14" i="39"/>
  <c r="Z14" i="39" s="1"/>
  <c r="AC7" i="39"/>
  <c r="AA7" i="39" s="1"/>
  <c r="Y7" i="39"/>
  <c r="Z7" i="39" s="1"/>
  <c r="Z21" i="39" l="1"/>
  <c r="Y34" i="39" l="1"/>
  <c r="Z34" i="39" s="1"/>
  <c r="Y27" i="39"/>
  <c r="Z27" i="39" s="1"/>
  <c r="Y20" i="39"/>
  <c r="Z20" i="39" s="1"/>
  <c r="Z13" i="39"/>
  <c r="Y13" i="39"/>
  <c r="AC36" i="39"/>
  <c r="AA36" i="39" s="1"/>
  <c r="Y36" i="39"/>
  <c r="Z36" i="39" s="1"/>
  <c r="Y32" i="39"/>
  <c r="AC32" i="39" s="1"/>
  <c r="AA32" i="39" s="1"/>
  <c r="AC31" i="39"/>
  <c r="AA31" i="39" s="1"/>
  <c r="Y31" i="39"/>
  <c r="Z31" i="39" s="1"/>
  <c r="AC30" i="39"/>
  <c r="AA30" i="39"/>
  <c r="Z30" i="39"/>
  <c r="Y30" i="39"/>
  <c r="Y29" i="39"/>
  <c r="AC29" i="39" s="1"/>
  <c r="AA29" i="39" s="1"/>
  <c r="Y24" i="39"/>
  <c r="AC24" i="39" s="1"/>
  <c r="AA24" i="39" s="1"/>
  <c r="Y23" i="39"/>
  <c r="AC23" i="39" s="1"/>
  <c r="AA23" i="39" s="1"/>
  <c r="Y22" i="39"/>
  <c r="AC22" i="39" s="1"/>
  <c r="AA22" i="39" s="1"/>
  <c r="Y18" i="39"/>
  <c r="AC18" i="39" s="1"/>
  <c r="AA18" i="39" s="1"/>
  <c r="Y17" i="39"/>
  <c r="AC17" i="39" s="1"/>
  <c r="AA17" i="39" s="1"/>
  <c r="AC16" i="39"/>
  <c r="AA16" i="39" s="1"/>
  <c r="Y16" i="39"/>
  <c r="Z16" i="39" s="1"/>
  <c r="AC15" i="39"/>
  <c r="AA15" i="39"/>
  <c r="Z15" i="39"/>
  <c r="Y15" i="39"/>
  <c r="AC11" i="39"/>
  <c r="AA11" i="39" s="1"/>
  <c r="Y11" i="39"/>
  <c r="Z11" i="39" s="1"/>
  <c r="AC10" i="39"/>
  <c r="AA10" i="39"/>
  <c r="Z10" i="39"/>
  <c r="Y10" i="39"/>
  <c r="Y9" i="39"/>
  <c r="AC9" i="39" s="1"/>
  <c r="AA9" i="39" s="1"/>
  <c r="Y8" i="39"/>
  <c r="AC8" i="39" s="1"/>
  <c r="AA8" i="39" s="1"/>
  <c r="Y6" i="39"/>
  <c r="Z6" i="39" s="1"/>
  <c r="Y36" i="29"/>
  <c r="AC36" i="29" s="1"/>
  <c r="AA36" i="29" s="1"/>
  <c r="AC35" i="29"/>
  <c r="AA35" i="29" s="1"/>
  <c r="Y35" i="29"/>
  <c r="Z35" i="29" s="1"/>
  <c r="Y34" i="29"/>
  <c r="AC34" i="29" s="1"/>
  <c r="AA34" i="29" s="1"/>
  <c r="Y31" i="29"/>
  <c r="AC31" i="29" s="1"/>
  <c r="AA31" i="29" s="1"/>
  <c r="AC30" i="29"/>
  <c r="AA30" i="29" s="1"/>
  <c r="Y30" i="29"/>
  <c r="Z30" i="29" s="1"/>
  <c r="Y29" i="29"/>
  <c r="AC29" i="29" s="1"/>
  <c r="AA29" i="29" s="1"/>
  <c r="Y28" i="29"/>
  <c r="AC28" i="29" s="1"/>
  <c r="AA28" i="29" s="1"/>
  <c r="Y27" i="29"/>
  <c r="Y24" i="29"/>
  <c r="AC24" i="29" s="1"/>
  <c r="AA24" i="29" s="1"/>
  <c r="AC23" i="29"/>
  <c r="AA23" i="29"/>
  <c r="Z23" i="29"/>
  <c r="Y23" i="29"/>
  <c r="Y22" i="29"/>
  <c r="AC22" i="29" s="1"/>
  <c r="AA22" i="29" s="1"/>
  <c r="Y21" i="29"/>
  <c r="AC21" i="29" s="1"/>
  <c r="AA21" i="29" s="1"/>
  <c r="Y20" i="29"/>
  <c r="AC20" i="29" s="1"/>
  <c r="AA20" i="29" s="1"/>
  <c r="Y17" i="29"/>
  <c r="AC17" i="29" s="1"/>
  <c r="AA17" i="29" s="1"/>
  <c r="AC16" i="29"/>
  <c r="AA16" i="29" s="1"/>
  <c r="Y16" i="29"/>
  <c r="Z16" i="29" s="1"/>
  <c r="Y15" i="29"/>
  <c r="AC15" i="29" s="1"/>
  <c r="AA15" i="29" s="1"/>
  <c r="Y14" i="29"/>
  <c r="AC14" i="29" s="1"/>
  <c r="AA14" i="29" s="1"/>
  <c r="Y13" i="29"/>
  <c r="AC13" i="29" s="1"/>
  <c r="AA13" i="29" s="1"/>
  <c r="AC10" i="29"/>
  <c r="AA10" i="29"/>
  <c r="Y10" i="29"/>
  <c r="Z10" i="29" s="1"/>
  <c r="Y9" i="29"/>
  <c r="AC9" i="29" s="1"/>
  <c r="AA9" i="29" s="1"/>
  <c r="Y8" i="29"/>
  <c r="AC8" i="29" s="1"/>
  <c r="AA8" i="29" s="1"/>
  <c r="Y7" i="29"/>
  <c r="AC7" i="29" s="1"/>
  <c r="AA7" i="29" s="1"/>
  <c r="Y6" i="29"/>
  <c r="AC6" i="29" s="1"/>
  <c r="AA6" i="29" s="1"/>
  <c r="Y31" i="28"/>
  <c r="AC31" i="28" s="1"/>
  <c r="AA31" i="28" s="1"/>
  <c r="Y30" i="28"/>
  <c r="AC30" i="28" s="1"/>
  <c r="AA30" i="28" s="1"/>
  <c r="Y29" i="28"/>
  <c r="AC29" i="28" s="1"/>
  <c r="AA29" i="28" s="1"/>
  <c r="Y28" i="28"/>
  <c r="Y27" i="28"/>
  <c r="AC27" i="28" s="1"/>
  <c r="AA27" i="28" s="1"/>
  <c r="AC24" i="28"/>
  <c r="AA24" i="28" s="1"/>
  <c r="Y24" i="28"/>
  <c r="Z24" i="28" s="1"/>
  <c r="Y23" i="28"/>
  <c r="AC23" i="28" s="1"/>
  <c r="AA23" i="28" s="1"/>
  <c r="Y22" i="28"/>
  <c r="AC22" i="28" s="1"/>
  <c r="AA22" i="28" s="1"/>
  <c r="Y21" i="28"/>
  <c r="AC21" i="28" s="1"/>
  <c r="AA21" i="28" s="1"/>
  <c r="Y20" i="28"/>
  <c r="AC20" i="28" s="1"/>
  <c r="AA20" i="28" s="1"/>
  <c r="AC17" i="28"/>
  <c r="AA17" i="28" s="1"/>
  <c r="Y17" i="28"/>
  <c r="Z17" i="28" s="1"/>
  <c r="Y16" i="28"/>
  <c r="Z16" i="28" s="1"/>
  <c r="Y15" i="28"/>
  <c r="AC15" i="28" s="1"/>
  <c r="AA15" i="28" s="1"/>
  <c r="Y14" i="28"/>
  <c r="AC14" i="28" s="1"/>
  <c r="AA14" i="28" s="1"/>
  <c r="Y13" i="28"/>
  <c r="AC13" i="28" s="1"/>
  <c r="AA13" i="28" s="1"/>
  <c r="Y10" i="28"/>
  <c r="AC10" i="28" s="1"/>
  <c r="AA10" i="28" s="1"/>
  <c r="AC9" i="28"/>
  <c r="AA9" i="28" s="1"/>
  <c r="Y9" i="28"/>
  <c r="Z9" i="28" s="1"/>
  <c r="Y8" i="28"/>
  <c r="AC8" i="28" s="1"/>
  <c r="AA8" i="28" s="1"/>
  <c r="Y7" i="28"/>
  <c r="AC7" i="28" s="1"/>
  <c r="AA7" i="28" s="1"/>
  <c r="Y6" i="28"/>
  <c r="AC6" i="28" s="1"/>
  <c r="AA6" i="28" s="1"/>
  <c r="Y34" i="27"/>
  <c r="AC34" i="27" s="1"/>
  <c r="AA34" i="27" s="1"/>
  <c r="Y33" i="27"/>
  <c r="AC33" i="27" s="1"/>
  <c r="AA33" i="27" s="1"/>
  <c r="Y32" i="27"/>
  <c r="AC32" i="27" s="1"/>
  <c r="AA32" i="27" s="1"/>
  <c r="Y31" i="27"/>
  <c r="AC31" i="27" s="1"/>
  <c r="AA31" i="27" s="1"/>
  <c r="Y30" i="27"/>
  <c r="AC30" i="27" s="1"/>
  <c r="AA30" i="27" s="1"/>
  <c r="AC27" i="27"/>
  <c r="AA27" i="27" s="1"/>
  <c r="Y27" i="27"/>
  <c r="Z27" i="27" s="1"/>
  <c r="Y26" i="27"/>
  <c r="AC26" i="27" s="1"/>
  <c r="AA26" i="27" s="1"/>
  <c r="Y25" i="27"/>
  <c r="AC25" i="27" s="1"/>
  <c r="AA25" i="27" s="1"/>
  <c r="Y24" i="27"/>
  <c r="AC24" i="27" s="1"/>
  <c r="AA24" i="27" s="1"/>
  <c r="Y23" i="27"/>
  <c r="AC23" i="27" s="1"/>
  <c r="AA23" i="27" s="1"/>
  <c r="Y20" i="27"/>
  <c r="AC20" i="27" s="1"/>
  <c r="AA20" i="27" s="1"/>
  <c r="Y19" i="27"/>
  <c r="AC19" i="27" s="1"/>
  <c r="AA19" i="27" s="1"/>
  <c r="Y18" i="27"/>
  <c r="AC18" i="27" s="1"/>
  <c r="AA18" i="27" s="1"/>
  <c r="Y17" i="27"/>
  <c r="AC17" i="27" s="1"/>
  <c r="AA17" i="27" s="1"/>
  <c r="Y13" i="27"/>
  <c r="AC13" i="27" s="1"/>
  <c r="AA13" i="27" s="1"/>
  <c r="AC12" i="27"/>
  <c r="AA12" i="27"/>
  <c r="Z12" i="27"/>
  <c r="Y12" i="27"/>
  <c r="Y11" i="27"/>
  <c r="AC11" i="27" s="1"/>
  <c r="AA11" i="27" s="1"/>
  <c r="Y10" i="27"/>
  <c r="AC10" i="27" s="1"/>
  <c r="AA10" i="27" s="1"/>
  <c r="Y9" i="27"/>
  <c r="AC9" i="27" s="1"/>
  <c r="AA9" i="27" s="1"/>
  <c r="Y36" i="26"/>
  <c r="Z36" i="26" s="1"/>
  <c r="Y35" i="26"/>
  <c r="Z35" i="26" s="1"/>
  <c r="Y34" i="26"/>
  <c r="AC34" i="26" s="1"/>
  <c r="AA34" i="26" s="1"/>
  <c r="Y33" i="26"/>
  <c r="AC33" i="26" s="1"/>
  <c r="AA33" i="26" s="1"/>
  <c r="AC30" i="26"/>
  <c r="AA30" i="26"/>
  <c r="Y30" i="26"/>
  <c r="Z30" i="26" s="1"/>
  <c r="AC29" i="26"/>
  <c r="AA29" i="26"/>
  <c r="Z29" i="26"/>
  <c r="Y29" i="26"/>
  <c r="Y28" i="26"/>
  <c r="AC28" i="26" s="1"/>
  <c r="AA28" i="26" s="1"/>
  <c r="Y27" i="26"/>
  <c r="AC27" i="26" s="1"/>
  <c r="AA27" i="26" s="1"/>
  <c r="Y26" i="26"/>
  <c r="Z26" i="26" s="1"/>
  <c r="Z23" i="26"/>
  <c r="Y23" i="26"/>
  <c r="AC23" i="26" s="1"/>
  <c r="AA23" i="26" s="1"/>
  <c r="Z22" i="26"/>
  <c r="Y22" i="26"/>
  <c r="AC22" i="26" s="1"/>
  <c r="AA22" i="26" s="1"/>
  <c r="Y21" i="26"/>
  <c r="AC21" i="26" s="1"/>
  <c r="AA21" i="26" s="1"/>
  <c r="Y20" i="26"/>
  <c r="AC20" i="26" s="1"/>
  <c r="AA20" i="26" s="1"/>
  <c r="Y19" i="26"/>
  <c r="AC19" i="26" s="1"/>
  <c r="AA19" i="26" s="1"/>
  <c r="Y16" i="26"/>
  <c r="AC16" i="26" s="1"/>
  <c r="AA16" i="26" s="1"/>
  <c r="AC15" i="26"/>
  <c r="AA15" i="26"/>
  <c r="Z15" i="26"/>
  <c r="Y15" i="26"/>
  <c r="Y14" i="26"/>
  <c r="AC14" i="26" s="1"/>
  <c r="AA14" i="26" s="1"/>
  <c r="Y13" i="26"/>
  <c r="AC13" i="26" s="1"/>
  <c r="AA13" i="26" s="1"/>
  <c r="Y12" i="26"/>
  <c r="Z12" i="26" s="1"/>
  <c r="Y9" i="26"/>
  <c r="AC9" i="26" s="1"/>
  <c r="AA9" i="26" s="1"/>
  <c r="Y8" i="26"/>
  <c r="AC8" i="26" s="1"/>
  <c r="AA8" i="26" s="1"/>
  <c r="Y7" i="26"/>
  <c r="AC7" i="26" s="1"/>
  <c r="AA7" i="26" s="1"/>
  <c r="Y6" i="26"/>
  <c r="AC6" i="26" s="1"/>
  <c r="AA6" i="26" s="1"/>
  <c r="Y35" i="25"/>
  <c r="AC35" i="25" s="1"/>
  <c r="AA35" i="25" s="1"/>
  <c r="Y32" i="25"/>
  <c r="AC32" i="25" s="1"/>
  <c r="AA32" i="25" s="1"/>
  <c r="AC31" i="25"/>
  <c r="AA31" i="25" s="1"/>
  <c r="Z31" i="25"/>
  <c r="Y31" i="25"/>
  <c r="Y30" i="25"/>
  <c r="AC30" i="25" s="1"/>
  <c r="AA30" i="25" s="1"/>
  <c r="Y29" i="25"/>
  <c r="AC29" i="25" s="1"/>
  <c r="AA29" i="25" s="1"/>
  <c r="Y28" i="25"/>
  <c r="AC25" i="25"/>
  <c r="AA25" i="25" s="1"/>
  <c r="Y25" i="25"/>
  <c r="Z25" i="25" s="1"/>
  <c r="AC24" i="25"/>
  <c r="AA24" i="25" s="1"/>
  <c r="Y24" i="25"/>
  <c r="Z24" i="25" s="1"/>
  <c r="Z23" i="25"/>
  <c r="Y23" i="25"/>
  <c r="AC23" i="25" s="1"/>
  <c r="AA23" i="25" s="1"/>
  <c r="Y22" i="25"/>
  <c r="AC22" i="25" s="1"/>
  <c r="AA22" i="25" s="1"/>
  <c r="Y21" i="25"/>
  <c r="Z21" i="25" s="1"/>
  <c r="AC18" i="25"/>
  <c r="AA18" i="25" s="1"/>
  <c r="Z18" i="25"/>
  <c r="Y18" i="25"/>
  <c r="Y17" i="25"/>
  <c r="AC17" i="25" s="1"/>
  <c r="AA17" i="25" s="1"/>
  <c r="Y16" i="25"/>
  <c r="AC16" i="25" s="1"/>
  <c r="AA16" i="25" s="1"/>
  <c r="Y15" i="25"/>
  <c r="AC15" i="25" s="1"/>
  <c r="AA15" i="25" s="1"/>
  <c r="Y14" i="25"/>
  <c r="AC14" i="25" s="1"/>
  <c r="AA14" i="25" s="1"/>
  <c r="Y11" i="25"/>
  <c r="AC11" i="25" s="1"/>
  <c r="AA11" i="25" s="1"/>
  <c r="Y10" i="25"/>
  <c r="AC10" i="25" s="1"/>
  <c r="AA10" i="25" s="1"/>
  <c r="Y9" i="25"/>
  <c r="AC9" i="25" s="1"/>
  <c r="AA9" i="25" s="1"/>
  <c r="Y8" i="25"/>
  <c r="Y7" i="25"/>
  <c r="AC7" i="25" s="1"/>
  <c r="AA7" i="25" s="1"/>
  <c r="Y35" i="24"/>
  <c r="AC35" i="24" s="1"/>
  <c r="AA35" i="24" s="1"/>
  <c r="AC34" i="24"/>
  <c r="AA34" i="24" s="1"/>
  <c r="Y34" i="24"/>
  <c r="Z34" i="24" s="1"/>
  <c r="Y33" i="24"/>
  <c r="AC33" i="24" s="1"/>
  <c r="AA33" i="24" s="1"/>
  <c r="Y32" i="24"/>
  <c r="AC32" i="24" s="1"/>
  <c r="AA32" i="24" s="1"/>
  <c r="Y31" i="24"/>
  <c r="AC31" i="24" s="1"/>
  <c r="AA31" i="24" s="1"/>
  <c r="Y28" i="24"/>
  <c r="AC28" i="24" s="1"/>
  <c r="AA28" i="24" s="1"/>
  <c r="AC27" i="24"/>
  <c r="AA27" i="24"/>
  <c r="Z27" i="24"/>
  <c r="Y27" i="24"/>
  <c r="Y26" i="24"/>
  <c r="AC26" i="24" s="1"/>
  <c r="AA26" i="24" s="1"/>
  <c r="Y25" i="24"/>
  <c r="AC25" i="24" s="1"/>
  <c r="AA25" i="24" s="1"/>
  <c r="Y24" i="24"/>
  <c r="AC24" i="24" s="1"/>
  <c r="AA24" i="24" s="1"/>
  <c r="Y21" i="24"/>
  <c r="Z21" i="24" s="1"/>
  <c r="Y20" i="24"/>
  <c r="AC20" i="24" s="1"/>
  <c r="AA20" i="24" s="1"/>
  <c r="Y19" i="24"/>
  <c r="AC19" i="24" s="1"/>
  <c r="AA19" i="24" s="1"/>
  <c r="Y18" i="24"/>
  <c r="AC18" i="24" s="1"/>
  <c r="AA18" i="24" s="1"/>
  <c r="Y14" i="24"/>
  <c r="AC14" i="24" s="1"/>
  <c r="AA14" i="24" s="1"/>
  <c r="AC13" i="24"/>
  <c r="AA13" i="24"/>
  <c r="Z13" i="24"/>
  <c r="Y13" i="24"/>
  <c r="Y12" i="24"/>
  <c r="Z12" i="24" s="1"/>
  <c r="Y11" i="24"/>
  <c r="Z11" i="24" s="1"/>
  <c r="Y10" i="24"/>
  <c r="AC10" i="24" s="1"/>
  <c r="AA10" i="24" s="1"/>
  <c r="Y7" i="24"/>
  <c r="AC7" i="24" s="1"/>
  <c r="AA7" i="24" s="1"/>
  <c r="AC6" i="24"/>
  <c r="AA6" i="24" s="1"/>
  <c r="Y6" i="24"/>
  <c r="Z6" i="24" s="1"/>
  <c r="Y35" i="23"/>
  <c r="Z35" i="23" s="1"/>
  <c r="Y34" i="23"/>
  <c r="Z34" i="23" s="1"/>
  <c r="Y33" i="23"/>
  <c r="AC33" i="23" s="1"/>
  <c r="AA33" i="23" s="1"/>
  <c r="AC30" i="23"/>
  <c r="AA30" i="23" s="1"/>
  <c r="Y30" i="23"/>
  <c r="Z30" i="23" s="1"/>
  <c r="Y29" i="23"/>
  <c r="AC29" i="23" s="1"/>
  <c r="AA29" i="23" s="1"/>
  <c r="Y28" i="23"/>
  <c r="Y27" i="23"/>
  <c r="Y26" i="23"/>
  <c r="AC23" i="23"/>
  <c r="AA23" i="23" s="1"/>
  <c r="Y23" i="23"/>
  <c r="Z23" i="23" s="1"/>
  <c r="AC22" i="23"/>
  <c r="AA22" i="23" s="1"/>
  <c r="Y22" i="23"/>
  <c r="Z22" i="23" s="1"/>
  <c r="Y21" i="23"/>
  <c r="AC21" i="23" s="1"/>
  <c r="AA21" i="23" s="1"/>
  <c r="Y20" i="23"/>
  <c r="AC20" i="23" s="1"/>
  <c r="AA20" i="23" s="1"/>
  <c r="Y19" i="23"/>
  <c r="AC19" i="23" s="1"/>
  <c r="AA19" i="23" s="1"/>
  <c r="Y16" i="23"/>
  <c r="AC16" i="23" s="1"/>
  <c r="AA16" i="23" s="1"/>
  <c r="Y15" i="23"/>
  <c r="AC15" i="23" s="1"/>
  <c r="AA15" i="23" s="1"/>
  <c r="Y14" i="23"/>
  <c r="AC14" i="23" s="1"/>
  <c r="AA14" i="23" s="1"/>
  <c r="Y13" i="23"/>
  <c r="AC13" i="23" s="1"/>
  <c r="AA13" i="23" s="1"/>
  <c r="Y12" i="23"/>
  <c r="AC12" i="23" s="1"/>
  <c r="AA12" i="23" s="1"/>
  <c r="Y9" i="23"/>
  <c r="AC9" i="23" s="1"/>
  <c r="AA9" i="23" s="1"/>
  <c r="Y8" i="23"/>
  <c r="AC8" i="23" s="1"/>
  <c r="AA8" i="23" s="1"/>
  <c r="Y7" i="23"/>
  <c r="AC7" i="23" s="1"/>
  <c r="AA7" i="23" s="1"/>
  <c r="Y6" i="23"/>
  <c r="AC6" i="23" s="1"/>
  <c r="AA6" i="23" s="1"/>
  <c r="Y36" i="22"/>
  <c r="AC36" i="22" s="1"/>
  <c r="AA36" i="22" s="1"/>
  <c r="Y33" i="22"/>
  <c r="AC33" i="22" s="1"/>
  <c r="AA33" i="22" s="1"/>
  <c r="Y32" i="22"/>
  <c r="AC32" i="22" s="1"/>
  <c r="AA32" i="22" s="1"/>
  <c r="Y31" i="22"/>
  <c r="AC31" i="22" s="1"/>
  <c r="AA31" i="22" s="1"/>
  <c r="Y30" i="22"/>
  <c r="AC30" i="22" s="1"/>
  <c r="AA30" i="22" s="1"/>
  <c r="Y29" i="22"/>
  <c r="AC29" i="22" s="1"/>
  <c r="AA29" i="22" s="1"/>
  <c r="Z26" i="22"/>
  <c r="Y26" i="22"/>
  <c r="AC26" i="22" s="1"/>
  <c r="AA26" i="22" s="1"/>
  <c r="AC25" i="22"/>
  <c r="AA25" i="22" s="1"/>
  <c r="Y25" i="22"/>
  <c r="Z25" i="22" s="1"/>
  <c r="Y24" i="22"/>
  <c r="AC24" i="22" s="1"/>
  <c r="AA24" i="22" s="1"/>
  <c r="Y23" i="22"/>
  <c r="AC23" i="22" s="1"/>
  <c r="AA23" i="22" s="1"/>
  <c r="Y22" i="22"/>
  <c r="AC22" i="22" s="1"/>
  <c r="AA22" i="22" s="1"/>
  <c r="Y19" i="22"/>
  <c r="AC19" i="22" s="1"/>
  <c r="AA19" i="22" s="1"/>
  <c r="Y18" i="22"/>
  <c r="AC18" i="22" s="1"/>
  <c r="AA18" i="22" s="1"/>
  <c r="Y17" i="22"/>
  <c r="AC17" i="22" s="1"/>
  <c r="AA17" i="22" s="1"/>
  <c r="Y16" i="22"/>
  <c r="Z16" i="22" s="1"/>
  <c r="Y15" i="22"/>
  <c r="AC15" i="22" s="1"/>
  <c r="AA15" i="22" s="1"/>
  <c r="AC12" i="22"/>
  <c r="AA12" i="22" s="1"/>
  <c r="Y12" i="22"/>
  <c r="Z12" i="22" s="1"/>
  <c r="Y11" i="22"/>
  <c r="AC11" i="22" s="1"/>
  <c r="AA11" i="22" s="1"/>
  <c r="Y10" i="22"/>
  <c r="AC10" i="22" s="1"/>
  <c r="AA10" i="22" s="1"/>
  <c r="Y9" i="22"/>
  <c r="AC9" i="22" s="1"/>
  <c r="AA9" i="22" s="1"/>
  <c r="Y8" i="22"/>
  <c r="AC8" i="22" s="1"/>
  <c r="AA8" i="22" s="1"/>
  <c r="AC36" i="21"/>
  <c r="AA36" i="21" s="1"/>
  <c r="Y36" i="21"/>
  <c r="Z36" i="21" s="1"/>
  <c r="AC35" i="21"/>
  <c r="AA35" i="21" s="1"/>
  <c r="Y35" i="21"/>
  <c r="Z35" i="21" s="1"/>
  <c r="Y34" i="21"/>
  <c r="AC34" i="21" s="1"/>
  <c r="AA34" i="21" s="1"/>
  <c r="Y33" i="21"/>
  <c r="AC33" i="21" s="1"/>
  <c r="AA33" i="21" s="1"/>
  <c r="Y32" i="21"/>
  <c r="AC32" i="21" s="1"/>
  <c r="AA32" i="21" s="1"/>
  <c r="Y29" i="21"/>
  <c r="AC29" i="21" s="1"/>
  <c r="AA29" i="21" s="1"/>
  <c r="AC28" i="21"/>
  <c r="AA28" i="21" s="1"/>
  <c r="Y28" i="21"/>
  <c r="Z28" i="21" s="1"/>
  <c r="Y27" i="21"/>
  <c r="AC27" i="21" s="1"/>
  <c r="AA27" i="21" s="1"/>
  <c r="Y26" i="21"/>
  <c r="AC26" i="21" s="1"/>
  <c r="AA26" i="21" s="1"/>
  <c r="Y22" i="21"/>
  <c r="AC22" i="21" s="1"/>
  <c r="AA22" i="21" s="1"/>
  <c r="AC21" i="21"/>
  <c r="AA21" i="21" s="1"/>
  <c r="Y21" i="21"/>
  <c r="Z21" i="21" s="1"/>
  <c r="Y20" i="21"/>
  <c r="AC20" i="21" s="1"/>
  <c r="AA20" i="21" s="1"/>
  <c r="Y19" i="21"/>
  <c r="AC19" i="21" s="1"/>
  <c r="AA19" i="21" s="1"/>
  <c r="Y18" i="21"/>
  <c r="AC18" i="21" s="1"/>
  <c r="AA18" i="21" s="1"/>
  <c r="Y15" i="21"/>
  <c r="AC15" i="21" s="1"/>
  <c r="AA15" i="21" s="1"/>
  <c r="AC14" i="21"/>
  <c r="AA14" i="21" s="1"/>
  <c r="Y14" i="21"/>
  <c r="Z14" i="21" s="1"/>
  <c r="Y13" i="21"/>
  <c r="AC13" i="21" s="1"/>
  <c r="AA13" i="21" s="1"/>
  <c r="Y12" i="21"/>
  <c r="AC12" i="21" s="1"/>
  <c r="AA12" i="21" s="1"/>
  <c r="Y11" i="21"/>
  <c r="AC11" i="21" s="1"/>
  <c r="AA11" i="21" s="1"/>
  <c r="AC8" i="21"/>
  <c r="AA8" i="21" s="1"/>
  <c r="Y8" i="21"/>
  <c r="Z8" i="21" s="1"/>
  <c r="Y7" i="21"/>
  <c r="AC7" i="21" s="1"/>
  <c r="AA7" i="21" s="1"/>
  <c r="Y6" i="21"/>
  <c r="AC6" i="21" s="1"/>
  <c r="AA6" i="21" s="1"/>
  <c r="Z17" i="39" l="1"/>
  <c r="Z22" i="39"/>
  <c r="Z32" i="39"/>
  <c r="Z8" i="39"/>
  <c r="Z18" i="39"/>
  <c r="Z23" i="39"/>
  <c r="Z9" i="39"/>
  <c r="Z24" i="39"/>
  <c r="Z29" i="39"/>
  <c r="Z34" i="29"/>
  <c r="Z36" i="29"/>
  <c r="Z27" i="29"/>
  <c r="Z28" i="29"/>
  <c r="Z29" i="29"/>
  <c r="Z31" i="29"/>
  <c r="Z24" i="29"/>
  <c r="Z20" i="29"/>
  <c r="Z21" i="29"/>
  <c r="Z22" i="29"/>
  <c r="Z14" i="29"/>
  <c r="Z15" i="29"/>
  <c r="Z13" i="29"/>
  <c r="Z17" i="29"/>
  <c r="Z6" i="29"/>
  <c r="Z7" i="29"/>
  <c r="Z8" i="29"/>
  <c r="Z9" i="29"/>
  <c r="Z27" i="28"/>
  <c r="Z28" i="28"/>
  <c r="Z29" i="28"/>
  <c r="Z30" i="28"/>
  <c r="Z31" i="28"/>
  <c r="Z20" i="28"/>
  <c r="Z21" i="28"/>
  <c r="Z22" i="28"/>
  <c r="Z23" i="28"/>
  <c r="Z13" i="28"/>
  <c r="Z15" i="28"/>
  <c r="Z14" i="28"/>
  <c r="Z10" i="28"/>
  <c r="Z6" i="28"/>
  <c r="Z7" i="28"/>
  <c r="Z8" i="28"/>
  <c r="Z33" i="27"/>
  <c r="Z34" i="27"/>
  <c r="Z30" i="27"/>
  <c r="Z31" i="27"/>
  <c r="Z32" i="27"/>
  <c r="Z23" i="27"/>
  <c r="Z24" i="27"/>
  <c r="Z25" i="27"/>
  <c r="Z26" i="27"/>
  <c r="Z17" i="27"/>
  <c r="Z18" i="27"/>
  <c r="Z19" i="27"/>
  <c r="Z20" i="27"/>
  <c r="Z9" i="27"/>
  <c r="Z10" i="27"/>
  <c r="Z11" i="27"/>
  <c r="Z13" i="27"/>
  <c r="Z33" i="26"/>
  <c r="Z34" i="26"/>
  <c r="AC26" i="26"/>
  <c r="AA26" i="26" s="1"/>
  <c r="Z27" i="26"/>
  <c r="Z28" i="26"/>
  <c r="Z19" i="26"/>
  <c r="Z20" i="26"/>
  <c r="Z21" i="26"/>
  <c r="AC12" i="26"/>
  <c r="AA12" i="26" s="1"/>
  <c r="Z13" i="26"/>
  <c r="Z14" i="26"/>
  <c r="Z16" i="26"/>
  <c r="Z6" i="26"/>
  <c r="Z7" i="26"/>
  <c r="Z8" i="26"/>
  <c r="Z9" i="26"/>
  <c r="Z35" i="25"/>
  <c r="Z32" i="25"/>
  <c r="Z28" i="25"/>
  <c r="Z29" i="25"/>
  <c r="Z30" i="25"/>
  <c r="AC21" i="25"/>
  <c r="AA21" i="25" s="1"/>
  <c r="Z22" i="25"/>
  <c r="Z15" i="25"/>
  <c r="Z16" i="25"/>
  <c r="Z17" i="25"/>
  <c r="Z14" i="25"/>
  <c r="Z7" i="25"/>
  <c r="Z8" i="25"/>
  <c r="Z9" i="25"/>
  <c r="Z10" i="25"/>
  <c r="Z11" i="25"/>
  <c r="Z35" i="24"/>
  <c r="Z31" i="24"/>
  <c r="Z32" i="24"/>
  <c r="Z33" i="24"/>
  <c r="Z28" i="24"/>
  <c r="Z24" i="24"/>
  <c r="Z25" i="24"/>
  <c r="Z26" i="24"/>
  <c r="AC21" i="24"/>
  <c r="AA21" i="24" s="1"/>
  <c r="Z18" i="24"/>
  <c r="Z19" i="24"/>
  <c r="Z20" i="24"/>
  <c r="Z10" i="24"/>
  <c r="AC11" i="24"/>
  <c r="AA11" i="24" s="1"/>
  <c r="AC12" i="24"/>
  <c r="AA12" i="24" s="1"/>
  <c r="Z14" i="24"/>
  <c r="Z7" i="24"/>
  <c r="AC34" i="23"/>
  <c r="AA34" i="23" s="1"/>
  <c r="AC35" i="23"/>
  <c r="AA35" i="23" s="1"/>
  <c r="Z33" i="23"/>
  <c r="Z28" i="23"/>
  <c r="Z29" i="23"/>
  <c r="Z26" i="23"/>
  <c r="Z27" i="23"/>
  <c r="Z21" i="23"/>
  <c r="Z19" i="23"/>
  <c r="Z20" i="23"/>
  <c r="Z14" i="23"/>
  <c r="Z15" i="23"/>
  <c r="Z16" i="23"/>
  <c r="Z12" i="23"/>
  <c r="Z13" i="23"/>
  <c r="Z6" i="23"/>
  <c r="Z7" i="23"/>
  <c r="Z8" i="23"/>
  <c r="Z9" i="23"/>
  <c r="Z36" i="22"/>
  <c r="Z29" i="22"/>
  <c r="Z30" i="22"/>
  <c r="Z31" i="22"/>
  <c r="Z32" i="22"/>
  <c r="Z33" i="22"/>
  <c r="Z22" i="22"/>
  <c r="Z23" i="22"/>
  <c r="Z24" i="22"/>
  <c r="Z15" i="22"/>
  <c r="Z17" i="22"/>
  <c r="Z18" i="22"/>
  <c r="Z19" i="22"/>
  <c r="Z8" i="22"/>
  <c r="Z9" i="22"/>
  <c r="Z10" i="22"/>
  <c r="Z11" i="22"/>
  <c r="Z32" i="21"/>
  <c r="Z33" i="21"/>
  <c r="Z34" i="21"/>
  <c r="Z29" i="21"/>
  <c r="Z26" i="21"/>
  <c r="Z27" i="21"/>
  <c r="Z22" i="21"/>
  <c r="Z18" i="21"/>
  <c r="Z19" i="21"/>
  <c r="Z20" i="21"/>
  <c r="Z15" i="21"/>
  <c r="Z11" i="21"/>
  <c r="Z12" i="21"/>
  <c r="Z13" i="21"/>
  <c r="Z6" i="21"/>
  <c r="Z7" i="21"/>
  <c r="Y35" i="20" l="1"/>
  <c r="AC35" i="20" s="1"/>
  <c r="AA35" i="20" s="1"/>
  <c r="AC34" i="20"/>
  <c r="AA34" i="20" s="1"/>
  <c r="Z34" i="20"/>
  <c r="Y34" i="20"/>
  <c r="AC31" i="20"/>
  <c r="AA31" i="20" s="1"/>
  <c r="Y31" i="20"/>
  <c r="Z31" i="20" s="1"/>
  <c r="Y30" i="20"/>
  <c r="AC30" i="20" s="1"/>
  <c r="AA30" i="20" s="1"/>
  <c r="Y29" i="20"/>
  <c r="AC29" i="20" s="1"/>
  <c r="AA29" i="20" s="1"/>
  <c r="Y28" i="20"/>
  <c r="AC28" i="20" s="1"/>
  <c r="AA28" i="20" s="1"/>
  <c r="Y27" i="20"/>
  <c r="AC27" i="20" s="1"/>
  <c r="AA27" i="20" s="1"/>
  <c r="AC24" i="20"/>
  <c r="AA24" i="20" s="1"/>
  <c r="Y24" i="20"/>
  <c r="Z24" i="20" s="1"/>
  <c r="AC23" i="20"/>
  <c r="AA23" i="20"/>
  <c r="Z23" i="20"/>
  <c r="Y23" i="20"/>
  <c r="Y22" i="20"/>
  <c r="AC22" i="20" s="1"/>
  <c r="AA22" i="20" s="1"/>
  <c r="Y21" i="20"/>
  <c r="AC21" i="20" s="1"/>
  <c r="AA21" i="20" s="1"/>
  <c r="Y20" i="20"/>
  <c r="Z20" i="20" s="1"/>
  <c r="AC17" i="20"/>
  <c r="AA17" i="20" s="1"/>
  <c r="Y17" i="20"/>
  <c r="Z17" i="20" s="1"/>
  <c r="Y16" i="20"/>
  <c r="AC16" i="20" s="1"/>
  <c r="AA16" i="20" s="1"/>
  <c r="Y15" i="20"/>
  <c r="AC15" i="20" s="1"/>
  <c r="AA15" i="20" s="1"/>
  <c r="Y14" i="20"/>
  <c r="AC14" i="20" s="1"/>
  <c r="AA14" i="20" s="1"/>
  <c r="Y13" i="20"/>
  <c r="AC13" i="20" s="1"/>
  <c r="AA13" i="20" s="1"/>
  <c r="Y10" i="20"/>
  <c r="AC10" i="20" s="1"/>
  <c r="AA10" i="20" s="1"/>
  <c r="Y9" i="20"/>
  <c r="AC9" i="20" s="1"/>
  <c r="AA9" i="20" s="1"/>
  <c r="Y8" i="20"/>
  <c r="Z8" i="20" s="1"/>
  <c r="Y7" i="20"/>
  <c r="AC7" i="20" s="1"/>
  <c r="AA7" i="20" s="1"/>
  <c r="Y6" i="20"/>
  <c r="Z6" i="20" s="1"/>
  <c r="Y34" i="19"/>
  <c r="AC34" i="19" s="1"/>
  <c r="AA34" i="19" s="1"/>
  <c r="AC33" i="19"/>
  <c r="AA33" i="19"/>
  <c r="Z33" i="19"/>
  <c r="Y33" i="19"/>
  <c r="Y32" i="19"/>
  <c r="AC32" i="19" s="1"/>
  <c r="AA32" i="19" s="1"/>
  <c r="Y31" i="19"/>
  <c r="AC31" i="19" s="1"/>
  <c r="AA31" i="19" s="1"/>
  <c r="Y30" i="19"/>
  <c r="AC30" i="19" s="1"/>
  <c r="AA30" i="19" s="1"/>
  <c r="Y27" i="19"/>
  <c r="AC27" i="19" s="1"/>
  <c r="AA27" i="19" s="1"/>
  <c r="AC26" i="19"/>
  <c r="AA26" i="19"/>
  <c r="Z26" i="19"/>
  <c r="Y26" i="19"/>
  <c r="Y25" i="19"/>
  <c r="AC25" i="19" s="1"/>
  <c r="AA25" i="19" s="1"/>
  <c r="Y24" i="19"/>
  <c r="AC24" i="19" s="1"/>
  <c r="AA24" i="19" s="1"/>
  <c r="Y23" i="19"/>
  <c r="AC23" i="19" s="1"/>
  <c r="AA23" i="19" s="1"/>
  <c r="AC20" i="19"/>
  <c r="AA20" i="19" s="1"/>
  <c r="Y20" i="19"/>
  <c r="Z20" i="19" s="1"/>
  <c r="AC19" i="19"/>
  <c r="AA19" i="19"/>
  <c r="Z19" i="19"/>
  <c r="Y19" i="19"/>
  <c r="Y18" i="19"/>
  <c r="AC18" i="19" s="1"/>
  <c r="AA18" i="19" s="1"/>
  <c r="Y17" i="19"/>
  <c r="AC17" i="19" s="1"/>
  <c r="AA17" i="19" s="1"/>
  <c r="Y16" i="19"/>
  <c r="AC16" i="19" s="1"/>
  <c r="AA16" i="19" s="1"/>
  <c r="Y13" i="19"/>
  <c r="AC13" i="19" s="1"/>
  <c r="AA13" i="19" s="1"/>
  <c r="AC12" i="19"/>
  <c r="AA12" i="19"/>
  <c r="Z12" i="19"/>
  <c r="Y12" i="19"/>
  <c r="Y11" i="19"/>
  <c r="Y10" i="19"/>
  <c r="Y9" i="19"/>
  <c r="Y6" i="19"/>
  <c r="AC6" i="19" s="1"/>
  <c r="AA6" i="19" s="1"/>
  <c r="AC35" i="18"/>
  <c r="AA35" i="18" s="1"/>
  <c r="Y35" i="18"/>
  <c r="Z35" i="18" s="1"/>
  <c r="Y34" i="18"/>
  <c r="Y33" i="18"/>
  <c r="AC33" i="18" s="1"/>
  <c r="AA33" i="18" s="1"/>
  <c r="Y32" i="18"/>
  <c r="Z32" i="18" s="1"/>
  <c r="Y29" i="18"/>
  <c r="AC29" i="18" s="1"/>
  <c r="AA29" i="18" s="1"/>
  <c r="Y28" i="18"/>
  <c r="AC28" i="18" s="1"/>
  <c r="AA28" i="18" s="1"/>
  <c r="Y27" i="18"/>
  <c r="AC27" i="18" s="1"/>
  <c r="AA27" i="18" s="1"/>
  <c r="Y26" i="18"/>
  <c r="AC26" i="18" s="1"/>
  <c r="AA26" i="18" s="1"/>
  <c r="Y25" i="18"/>
  <c r="AC25" i="18" s="1"/>
  <c r="AA25" i="18" s="1"/>
  <c r="AC22" i="18"/>
  <c r="AA22" i="18" s="1"/>
  <c r="Y22" i="18"/>
  <c r="Z22" i="18" s="1"/>
  <c r="Y21" i="18"/>
  <c r="AC21" i="18" s="1"/>
  <c r="AA21" i="18" s="1"/>
  <c r="Y20" i="18"/>
  <c r="Z20" i="18" s="1"/>
  <c r="Y19" i="18"/>
  <c r="AC19" i="18" s="1"/>
  <c r="AA19" i="18" s="1"/>
  <c r="Y18" i="18"/>
  <c r="AC18" i="18" s="1"/>
  <c r="AA18" i="18" s="1"/>
  <c r="Y15" i="18"/>
  <c r="AC15" i="18" s="1"/>
  <c r="AA15" i="18" s="1"/>
  <c r="Y14" i="18"/>
  <c r="AC14" i="18" s="1"/>
  <c r="AA14" i="18" s="1"/>
  <c r="Y13" i="18"/>
  <c r="AC13" i="18" s="1"/>
  <c r="AA13" i="18" s="1"/>
  <c r="Y12" i="18"/>
  <c r="AC12" i="18" s="1"/>
  <c r="AA12" i="18" s="1"/>
  <c r="Y11" i="18"/>
  <c r="AC11" i="18" s="1"/>
  <c r="AA11" i="18" s="1"/>
  <c r="AC8" i="18"/>
  <c r="AA8" i="18" s="1"/>
  <c r="Y8" i="18"/>
  <c r="Z8" i="18" s="1"/>
  <c r="Y7" i="18"/>
  <c r="AC7" i="18" s="1"/>
  <c r="AA7" i="18" s="1"/>
  <c r="Y9" i="18"/>
  <c r="Z9" i="18" s="1"/>
  <c r="Y10" i="18"/>
  <c r="Z10" i="18"/>
  <c r="Y16" i="18"/>
  <c r="Z16" i="18"/>
  <c r="Y17" i="18"/>
  <c r="Z17" i="18"/>
  <c r="Y23" i="18"/>
  <c r="Z23" i="18"/>
  <c r="Y24" i="18"/>
  <c r="Z24" i="18"/>
  <c r="Y30" i="18"/>
  <c r="Z30" i="18"/>
  <c r="Y31" i="18"/>
  <c r="Z31" i="18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T50" i="39"/>
  <c r="T49" i="39"/>
  <c r="C49" i="39"/>
  <c r="T48" i="39"/>
  <c r="C48" i="39"/>
  <c r="T47" i="39"/>
  <c r="C47" i="39"/>
  <c r="T46" i="39"/>
  <c r="C46" i="39"/>
  <c r="T45" i="39"/>
  <c r="C45" i="39"/>
  <c r="T44" i="39"/>
  <c r="C44" i="39"/>
  <c r="T43" i="39"/>
  <c r="C43" i="39"/>
  <c r="T42" i="39"/>
  <c r="C42" i="39"/>
  <c r="T41" i="39"/>
  <c r="C41" i="39"/>
  <c r="AB37" i="39"/>
  <c r="R52" i="29"/>
  <c r="Q52" i="29"/>
  <c r="C49" i="29"/>
  <c r="T50" i="29"/>
  <c r="T49" i="29"/>
  <c r="C48" i="29"/>
  <c r="C47" i="29"/>
  <c r="C46" i="29"/>
  <c r="C45" i="29"/>
  <c r="C44" i="29"/>
  <c r="C43" i="29"/>
  <c r="C42" i="29"/>
  <c r="T52" i="39" l="1"/>
  <c r="Z35" i="20"/>
  <c r="Z27" i="20"/>
  <c r="Z28" i="20"/>
  <c r="Z29" i="20"/>
  <c r="Z30" i="20"/>
  <c r="AC20" i="20"/>
  <c r="AA20" i="20" s="1"/>
  <c r="Z21" i="20"/>
  <c r="Z22" i="20"/>
  <c r="Z13" i="20"/>
  <c r="Z14" i="20"/>
  <c r="Z15" i="20"/>
  <c r="Z16" i="20"/>
  <c r="AC6" i="20"/>
  <c r="AA6" i="20" s="1"/>
  <c r="Z7" i="20"/>
  <c r="Z9" i="20"/>
  <c r="AC8" i="20"/>
  <c r="AA8" i="20" s="1"/>
  <c r="Z10" i="20"/>
  <c r="Z32" i="19"/>
  <c r="Z30" i="19"/>
  <c r="Z31" i="19"/>
  <c r="Z34" i="19"/>
  <c r="Z27" i="19"/>
  <c r="Z23" i="19"/>
  <c r="Z24" i="19"/>
  <c r="Z25" i="19"/>
  <c r="Z16" i="19"/>
  <c r="Z17" i="19"/>
  <c r="Z18" i="19"/>
  <c r="Z13" i="19"/>
  <c r="Z9" i="19"/>
  <c r="Z10" i="19"/>
  <c r="Z11" i="19"/>
  <c r="Z6" i="19"/>
  <c r="AC32" i="18"/>
  <c r="AA32" i="18" s="1"/>
  <c r="Z33" i="18"/>
  <c r="Z34" i="18"/>
  <c r="Z25" i="18"/>
  <c r="Z27" i="18"/>
  <c r="Z28" i="18"/>
  <c r="Z29" i="18"/>
  <c r="Z26" i="18"/>
  <c r="Z19" i="18"/>
  <c r="AC20" i="18"/>
  <c r="AA20" i="18" s="1"/>
  <c r="Z18" i="18"/>
  <c r="Z21" i="18"/>
  <c r="Z11" i="18"/>
  <c r="Z13" i="18"/>
  <c r="Z14" i="18"/>
  <c r="Z12" i="18"/>
  <c r="Z15" i="18"/>
  <c r="Z7" i="18"/>
  <c r="AA37" i="39"/>
  <c r="T61" i="28"/>
  <c r="T60" i="28"/>
  <c r="T59" i="28"/>
  <c r="T58" i="28"/>
  <c r="T57" i="28"/>
  <c r="T56" i="28"/>
  <c r="C61" i="28"/>
  <c r="C60" i="28"/>
  <c r="C59" i="28"/>
  <c r="C58" i="28"/>
  <c r="C57" i="28"/>
  <c r="C56" i="28"/>
  <c r="T54" i="28"/>
  <c r="T53" i="28"/>
  <c r="C53" i="28"/>
  <c r="C52" i="28"/>
  <c r="C51" i="28"/>
  <c r="T52" i="28"/>
  <c r="C50" i="28"/>
  <c r="C49" i="28"/>
  <c r="C48" i="28"/>
  <c r="C47" i="28"/>
  <c r="C46" i="28"/>
  <c r="C45" i="28"/>
  <c r="C44" i="28"/>
  <c r="C43" i="28"/>
  <c r="C42" i="28"/>
  <c r="T51" i="28"/>
  <c r="T50" i="28"/>
  <c r="T49" i="28"/>
  <c r="T48" i="28"/>
  <c r="C47" i="25"/>
  <c r="C46" i="25"/>
  <c r="C45" i="25"/>
  <c r="C44" i="25"/>
  <c r="C43" i="25"/>
  <c r="C42" i="25"/>
  <c r="C41" i="25"/>
  <c r="C49" i="26" l="1"/>
  <c r="C48" i="26"/>
  <c r="T50" i="26"/>
  <c r="T49" i="26"/>
  <c r="T48" i="26"/>
  <c r="T47" i="26"/>
  <c r="C47" i="26"/>
  <c r="C46" i="26"/>
  <c r="C45" i="26"/>
  <c r="T45" i="26"/>
  <c r="T46" i="26"/>
  <c r="P5" i="27" l="1"/>
  <c r="P4" i="27"/>
  <c r="P3" i="27"/>
  <c r="P5" i="26"/>
  <c r="P4" i="26"/>
  <c r="P3" i="26"/>
  <c r="T49" i="24" l="1"/>
  <c r="T48" i="24"/>
  <c r="C48" i="24"/>
  <c r="C47" i="24"/>
  <c r="T47" i="24"/>
  <c r="T47" i="23"/>
  <c r="C47" i="22" l="1"/>
  <c r="T47" i="22"/>
  <c r="T48" i="22"/>
  <c r="T46" i="22"/>
  <c r="C46" i="22"/>
  <c r="C45" i="22"/>
  <c r="C47" i="20"/>
  <c r="C46" i="20"/>
  <c r="C45" i="20"/>
  <c r="C44" i="20"/>
  <c r="C43" i="20"/>
  <c r="C45" i="19"/>
  <c r="C44" i="19"/>
  <c r="C43" i="19"/>
  <c r="R4" i="20" l="1"/>
  <c r="E37" i="18" l="1"/>
  <c r="S5" i="39"/>
  <c r="S4" i="39"/>
  <c r="S3" i="39"/>
  <c r="O5" i="39" l="1"/>
  <c r="N5" i="39"/>
  <c r="M5" i="39"/>
  <c r="L5" i="39"/>
  <c r="K5" i="39"/>
  <c r="J5" i="39"/>
  <c r="I5" i="39"/>
  <c r="H5" i="39"/>
  <c r="G5" i="39"/>
  <c r="F5" i="39"/>
  <c r="E5" i="39"/>
  <c r="D5" i="39"/>
  <c r="O4" i="39"/>
  <c r="N4" i="39"/>
  <c r="M4" i="39"/>
  <c r="L4" i="39"/>
  <c r="K4" i="39"/>
  <c r="J4" i="39"/>
  <c r="I4" i="39"/>
  <c r="H4" i="39"/>
  <c r="G4" i="39"/>
  <c r="F4" i="39"/>
  <c r="E4" i="39"/>
  <c r="D4" i="39"/>
  <c r="O3" i="39"/>
  <c r="N3" i="39"/>
  <c r="M3" i="39"/>
  <c r="L3" i="39"/>
  <c r="K3" i="39"/>
  <c r="J3" i="39"/>
  <c r="I3" i="39"/>
  <c r="H3" i="39"/>
  <c r="G3" i="39"/>
  <c r="F3" i="39"/>
  <c r="E3" i="39"/>
  <c r="D3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T36" i="39"/>
  <c r="C36" i="39"/>
  <c r="T35" i="39"/>
  <c r="C35" i="39"/>
  <c r="T34" i="39"/>
  <c r="C34" i="39"/>
  <c r="T33" i="39"/>
  <c r="C33" i="39"/>
  <c r="T32" i="39"/>
  <c r="C32" i="39"/>
  <c r="T31" i="39"/>
  <c r="C31" i="39"/>
  <c r="T30" i="39"/>
  <c r="C30" i="39"/>
  <c r="T29" i="39"/>
  <c r="C29" i="39"/>
  <c r="T28" i="39"/>
  <c r="C28" i="39"/>
  <c r="T27" i="39"/>
  <c r="C27" i="39"/>
  <c r="T26" i="39"/>
  <c r="C26" i="39"/>
  <c r="T25" i="39"/>
  <c r="C25" i="39"/>
  <c r="T24" i="39"/>
  <c r="C24" i="39"/>
  <c r="T23" i="39"/>
  <c r="C23" i="39"/>
  <c r="T22" i="39"/>
  <c r="C22" i="39"/>
  <c r="T21" i="39"/>
  <c r="C21" i="39"/>
  <c r="T20" i="39"/>
  <c r="C20" i="39"/>
  <c r="T19" i="39"/>
  <c r="C19" i="39"/>
  <c r="T18" i="39"/>
  <c r="C18" i="39"/>
  <c r="T17" i="39"/>
  <c r="C17" i="39"/>
  <c r="T16" i="39"/>
  <c r="C16" i="39"/>
  <c r="T15" i="39"/>
  <c r="C15" i="39"/>
  <c r="T14" i="39"/>
  <c r="C14" i="39"/>
  <c r="T13" i="39"/>
  <c r="C13" i="39"/>
  <c r="T12" i="39"/>
  <c r="C12" i="39"/>
  <c r="T11" i="39"/>
  <c r="C11" i="39"/>
  <c r="T10" i="39"/>
  <c r="C10" i="39"/>
  <c r="T9" i="39"/>
  <c r="C9" i="39"/>
  <c r="T8" i="39"/>
  <c r="C8" i="39"/>
  <c r="T7" i="39"/>
  <c r="C7" i="39"/>
  <c r="T6" i="39"/>
  <c r="C6" i="39"/>
  <c r="T37" i="39" l="1"/>
  <c r="T47" i="25" l="1"/>
  <c r="Q50" i="20"/>
  <c r="P50" i="20"/>
  <c r="Q37" i="20"/>
  <c r="P37" i="20"/>
  <c r="Y11" i="20"/>
  <c r="AB37" i="20"/>
  <c r="AB37" i="21"/>
  <c r="AB37" i="22"/>
  <c r="AB37" i="19"/>
  <c r="AB37" i="18"/>
  <c r="Y33" i="29"/>
  <c r="Y32" i="29"/>
  <c r="Y26" i="29"/>
  <c r="Y25" i="29"/>
  <c r="Y19" i="29"/>
  <c r="Y18" i="29"/>
  <c r="Y12" i="29"/>
  <c r="Y11" i="29"/>
  <c r="Y33" i="28"/>
  <c r="Y32" i="28"/>
  <c r="Y26" i="28"/>
  <c r="Y25" i="28"/>
  <c r="Y19" i="28"/>
  <c r="Y18" i="28"/>
  <c r="Y12" i="28"/>
  <c r="Y11" i="28"/>
  <c r="Y36" i="27"/>
  <c r="Y35" i="27"/>
  <c r="Y29" i="27"/>
  <c r="Y28" i="27"/>
  <c r="Y22" i="27"/>
  <c r="Y21" i="27"/>
  <c r="Y16" i="27"/>
  <c r="Y15" i="27"/>
  <c r="Y14" i="27"/>
  <c r="Y32" i="26"/>
  <c r="Y31" i="26"/>
  <c r="Y25" i="26"/>
  <c r="Y24" i="26"/>
  <c r="Y18" i="26"/>
  <c r="Y17" i="26"/>
  <c r="Y11" i="26"/>
  <c r="Y10" i="26"/>
  <c r="Y34" i="25"/>
  <c r="Y33" i="25"/>
  <c r="Y27" i="25"/>
  <c r="Y26" i="25"/>
  <c r="Y20" i="25"/>
  <c r="Y19" i="25"/>
  <c r="Y13" i="25"/>
  <c r="Y12" i="25"/>
  <c r="Y6" i="25"/>
  <c r="Y36" i="24"/>
  <c r="Y30" i="24"/>
  <c r="Y29" i="24"/>
  <c r="Y23" i="24"/>
  <c r="Y22" i="24"/>
  <c r="Y17" i="24"/>
  <c r="Y16" i="24"/>
  <c r="Y15" i="24"/>
  <c r="Y9" i="24"/>
  <c r="Y8" i="24"/>
  <c r="Y32" i="23"/>
  <c r="Y31" i="23"/>
  <c r="Y25" i="23"/>
  <c r="Y24" i="23"/>
  <c r="Y18" i="23"/>
  <c r="Y17" i="23"/>
  <c r="Y11" i="23"/>
  <c r="Y10" i="23"/>
  <c r="Y35" i="22"/>
  <c r="Y34" i="22"/>
  <c r="Y28" i="22"/>
  <c r="Y27" i="22"/>
  <c r="Y21" i="22"/>
  <c r="Y20" i="22"/>
  <c r="Y14" i="22"/>
  <c r="Y13" i="22"/>
  <c r="Y7" i="22"/>
  <c r="Y6" i="22"/>
  <c r="Y31" i="21"/>
  <c r="Y30" i="21"/>
  <c r="Y25" i="21"/>
  <c r="Y24" i="21"/>
  <c r="Y23" i="21"/>
  <c r="Y17" i="21"/>
  <c r="Y16" i="21"/>
  <c r="Y10" i="21"/>
  <c r="Y9" i="21"/>
  <c r="Y33" i="20"/>
  <c r="Y32" i="20"/>
  <c r="Y26" i="20"/>
  <c r="Y25" i="20"/>
  <c r="Y19" i="20"/>
  <c r="Y18" i="20"/>
  <c r="Y12" i="20"/>
  <c r="Y36" i="19"/>
  <c r="Y35" i="19"/>
  <c r="Y29" i="19"/>
  <c r="Y28" i="19"/>
  <c r="Y22" i="19"/>
  <c r="Y21" i="19"/>
  <c r="Y15" i="19"/>
  <c r="Y14" i="19"/>
  <c r="Y8" i="19"/>
  <c r="Z8" i="19" s="1"/>
  <c r="Y7" i="19"/>
  <c r="Y6" i="18"/>
  <c r="R63" i="28"/>
  <c r="AB37" i="29"/>
  <c r="AB37" i="28"/>
  <c r="T44" i="28"/>
  <c r="Q37" i="27"/>
  <c r="P37" i="27"/>
  <c r="AB37" i="27"/>
  <c r="T48" i="25"/>
  <c r="T46" i="25"/>
  <c r="AC6" i="18" l="1"/>
  <c r="AA6" i="18" s="1"/>
  <c r="Z10" i="23"/>
  <c r="Z25" i="23"/>
  <c r="Z21" i="22"/>
  <c r="Z35" i="22"/>
  <c r="Z25" i="21"/>
  <c r="Z31" i="21"/>
  <c r="Z12" i="20"/>
  <c r="AB37" i="26"/>
  <c r="AB37" i="25"/>
  <c r="C44" i="24"/>
  <c r="AB37" i="24"/>
  <c r="AB37" i="23"/>
  <c r="R37" i="23"/>
  <c r="T46" i="23"/>
  <c r="C46" i="23"/>
  <c r="T45" i="23"/>
  <c r="C45" i="23"/>
  <c r="T44" i="23"/>
  <c r="C44" i="23"/>
  <c r="T43" i="23"/>
  <c r="C43" i="23"/>
  <c r="T42" i="23"/>
  <c r="C42" i="23"/>
  <c r="T41" i="23"/>
  <c r="C41" i="23"/>
  <c r="T35" i="23"/>
  <c r="T34" i="23"/>
  <c r="T33" i="23"/>
  <c r="T32" i="23"/>
  <c r="Z32" i="23" s="1"/>
  <c r="T31" i="23"/>
  <c r="Z31" i="23" s="1"/>
  <c r="T30" i="23"/>
  <c r="T29" i="23"/>
  <c r="T28" i="23"/>
  <c r="T27" i="23"/>
  <c r="T26" i="23"/>
  <c r="T25" i="23"/>
  <c r="T24" i="23"/>
  <c r="Z24" i="23" s="1"/>
  <c r="T23" i="23"/>
  <c r="T22" i="23"/>
  <c r="T21" i="23"/>
  <c r="T20" i="23"/>
  <c r="T19" i="23"/>
  <c r="T18" i="23"/>
  <c r="Z18" i="23" s="1"/>
  <c r="T17" i="23"/>
  <c r="Z17" i="23" s="1"/>
  <c r="T16" i="23"/>
  <c r="T15" i="23"/>
  <c r="T14" i="23"/>
  <c r="T13" i="23"/>
  <c r="T12" i="23"/>
  <c r="T11" i="23"/>
  <c r="Z11" i="23" s="1"/>
  <c r="T10" i="23"/>
  <c r="T9" i="23"/>
  <c r="T8" i="23"/>
  <c r="T7" i="23"/>
  <c r="T6" i="23"/>
  <c r="T36" i="22"/>
  <c r="T35" i="22"/>
  <c r="T34" i="22"/>
  <c r="Z34" i="22" s="1"/>
  <c r="T33" i="22"/>
  <c r="T32" i="22"/>
  <c r="T31" i="22"/>
  <c r="T30" i="22"/>
  <c r="T29" i="22"/>
  <c r="T28" i="22"/>
  <c r="Z28" i="22" s="1"/>
  <c r="T27" i="22"/>
  <c r="Z27" i="22" s="1"/>
  <c r="T26" i="22"/>
  <c r="T25" i="22"/>
  <c r="T24" i="22"/>
  <c r="T23" i="22"/>
  <c r="T22" i="22"/>
  <c r="T21" i="22"/>
  <c r="T45" i="22"/>
  <c r="T44" i="22"/>
  <c r="C44" i="22"/>
  <c r="T43" i="22"/>
  <c r="C43" i="22"/>
  <c r="T42" i="22"/>
  <c r="C42" i="22"/>
  <c r="T41" i="22"/>
  <c r="C41" i="22"/>
  <c r="T20" i="22"/>
  <c r="Z20" i="22" s="1"/>
  <c r="T19" i="22"/>
  <c r="T18" i="22"/>
  <c r="T17" i="22"/>
  <c r="T16" i="22"/>
  <c r="T15" i="22"/>
  <c r="T14" i="22"/>
  <c r="Z14" i="22" s="1"/>
  <c r="T13" i="22"/>
  <c r="Z13" i="22" s="1"/>
  <c r="T12" i="22"/>
  <c r="T11" i="22"/>
  <c r="T10" i="22"/>
  <c r="T9" i="22"/>
  <c r="T8" i="22"/>
  <c r="T7" i="22"/>
  <c r="Z7" i="22" s="1"/>
  <c r="T6" i="22"/>
  <c r="Z6" i="22" s="1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T36" i="21"/>
  <c r="T35" i="21"/>
  <c r="T34" i="21"/>
  <c r="T33" i="21"/>
  <c r="T32" i="21"/>
  <c r="T31" i="21"/>
  <c r="T30" i="21"/>
  <c r="Z30" i="21" s="1"/>
  <c r="T29" i="21"/>
  <c r="T28" i="21"/>
  <c r="T27" i="21"/>
  <c r="T26" i="21"/>
  <c r="T25" i="21"/>
  <c r="T24" i="21"/>
  <c r="Z24" i="21" s="1"/>
  <c r="T23" i="21"/>
  <c r="Z23" i="21" s="1"/>
  <c r="T22" i="21"/>
  <c r="T21" i="21"/>
  <c r="T45" i="20"/>
  <c r="T44" i="20"/>
  <c r="T43" i="20"/>
  <c r="T42" i="20"/>
  <c r="C42" i="20"/>
  <c r="T41" i="20"/>
  <c r="C41" i="20"/>
  <c r="T44" i="19"/>
  <c r="T43" i="19"/>
  <c r="T42" i="19"/>
  <c r="C42" i="19"/>
  <c r="T41" i="19"/>
  <c r="C41" i="19"/>
  <c r="T35" i="20"/>
  <c r="T34" i="20"/>
  <c r="T33" i="20"/>
  <c r="Z33" i="20" s="1"/>
  <c r="T32" i="20"/>
  <c r="Z32" i="20" s="1"/>
  <c r="T31" i="20"/>
  <c r="T30" i="20"/>
  <c r="T29" i="20"/>
  <c r="T28" i="20"/>
  <c r="T27" i="20"/>
  <c r="T26" i="20"/>
  <c r="Z26" i="20" s="1"/>
  <c r="T25" i="20"/>
  <c r="Z25" i="20" s="1"/>
  <c r="T24" i="20"/>
  <c r="T23" i="20"/>
  <c r="T22" i="20"/>
  <c r="T21" i="20"/>
  <c r="T20" i="20"/>
  <c r="T19" i="20"/>
  <c r="Z19" i="20" s="1"/>
  <c r="T18" i="20"/>
  <c r="Z18" i="20" s="1"/>
  <c r="T17" i="20"/>
  <c r="T16" i="20"/>
  <c r="T15" i="20"/>
  <c r="T14" i="20"/>
  <c r="T13" i="20"/>
  <c r="T12" i="20"/>
  <c r="T11" i="20"/>
  <c r="Z11" i="20" s="1"/>
  <c r="T10" i="20"/>
  <c r="T9" i="20"/>
  <c r="T8" i="20"/>
  <c r="T7" i="20"/>
  <c r="T6" i="20"/>
  <c r="T36" i="19"/>
  <c r="Z36" i="19" s="1"/>
  <c r="T35" i="19"/>
  <c r="Z35" i="19" s="1"/>
  <c r="T34" i="19"/>
  <c r="T33" i="19"/>
  <c r="T32" i="19"/>
  <c r="T31" i="19"/>
  <c r="T30" i="19"/>
  <c r="T29" i="19"/>
  <c r="Z29" i="19" s="1"/>
  <c r="T28" i="19"/>
  <c r="Z28" i="19" s="1"/>
  <c r="T27" i="19"/>
  <c r="T26" i="19"/>
  <c r="T25" i="19"/>
  <c r="T24" i="19"/>
  <c r="T23" i="19"/>
  <c r="T22" i="19"/>
  <c r="Z22" i="19" s="1"/>
  <c r="T21" i="19"/>
  <c r="Z21" i="19" s="1"/>
  <c r="T45" i="18"/>
  <c r="C45" i="18"/>
  <c r="T44" i="18"/>
  <c r="C44" i="18"/>
  <c r="T43" i="18"/>
  <c r="C43" i="18"/>
  <c r="T42" i="18"/>
  <c r="C42" i="18"/>
  <c r="T41" i="18"/>
  <c r="C41" i="18"/>
  <c r="AA37" i="21" l="1"/>
  <c r="AA37" i="20"/>
  <c r="AA37" i="22"/>
  <c r="AA37" i="19"/>
  <c r="AA37" i="18"/>
  <c r="T43" i="28" l="1"/>
  <c r="T42" i="28"/>
  <c r="T47" i="28"/>
  <c r="T44" i="26"/>
  <c r="C44" i="26"/>
  <c r="C45" i="24"/>
  <c r="T45" i="24"/>
  <c r="C46" i="24"/>
  <c r="T46" i="24"/>
  <c r="C43" i="24" l="1"/>
  <c r="C42" i="24"/>
  <c r="C45" i="21" l="1"/>
  <c r="C44" i="21"/>
  <c r="C43" i="21"/>
  <c r="C42" i="21"/>
  <c r="T47" i="20"/>
  <c r="Q50" i="21" l="1"/>
  <c r="P50" i="21"/>
  <c r="Q37" i="21"/>
  <c r="P37" i="21"/>
  <c r="Q50" i="22"/>
  <c r="P50" i="22"/>
  <c r="Q37" i="22"/>
  <c r="P37" i="22"/>
  <c r="Q52" i="26"/>
  <c r="P52" i="26"/>
  <c r="Q37" i="26"/>
  <c r="P37" i="26"/>
  <c r="Q50" i="19"/>
  <c r="P50" i="19"/>
  <c r="Q37" i="19"/>
  <c r="P37" i="19"/>
  <c r="P50" i="18"/>
  <c r="O50" i="18"/>
  <c r="P37" i="18"/>
  <c r="O37" i="18"/>
  <c r="R37" i="29"/>
  <c r="Q37" i="29"/>
  <c r="T46" i="28"/>
  <c r="T45" i="28"/>
  <c r="T41" i="28"/>
  <c r="C41" i="28"/>
  <c r="O63" i="28" l="1"/>
  <c r="N63" i="28"/>
  <c r="O37" i="28"/>
  <c r="N37" i="28"/>
  <c r="O5" i="28"/>
  <c r="N5" i="28"/>
  <c r="O4" i="28"/>
  <c r="N4" i="28"/>
  <c r="O3" i="28"/>
  <c r="N3" i="28"/>
  <c r="C43" i="26" l="1"/>
  <c r="C42" i="26"/>
  <c r="T16" i="27"/>
  <c r="Z16" i="27" s="1"/>
  <c r="T14" i="26"/>
  <c r="Q5" i="25"/>
  <c r="Q4" i="25"/>
  <c r="Q3" i="25"/>
  <c r="R50" i="25"/>
  <c r="Q50" i="25"/>
  <c r="R37" i="25"/>
  <c r="Q37" i="25"/>
  <c r="T42" i="24"/>
  <c r="R50" i="24"/>
  <c r="Q50" i="24"/>
  <c r="R50" i="23"/>
  <c r="P50" i="23"/>
  <c r="P37" i="23"/>
  <c r="P5" i="23"/>
  <c r="P4" i="23"/>
  <c r="P3" i="23"/>
  <c r="S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R50" i="22"/>
  <c r="T48" i="20" l="1"/>
  <c r="T43" i="26" l="1"/>
  <c r="R3" i="20" l="1"/>
  <c r="P52" i="29" l="1"/>
  <c r="P37" i="29"/>
  <c r="P5" i="29"/>
  <c r="P4" i="29"/>
  <c r="P3" i="29"/>
  <c r="R37" i="28" l="1"/>
  <c r="R5" i="28" l="1"/>
  <c r="R4" i="28"/>
  <c r="R3" i="28"/>
  <c r="C41" i="21" l="1"/>
  <c r="C34" i="27"/>
  <c r="C34" i="29"/>
  <c r="S5" i="19"/>
  <c r="S4" i="19"/>
  <c r="S3" i="19"/>
  <c r="L50" i="18" l="1"/>
  <c r="L37" i="18"/>
  <c r="R5" i="18" l="1"/>
  <c r="R4" i="18"/>
  <c r="R3" i="18"/>
  <c r="S5" i="18"/>
  <c r="S4" i="18"/>
  <c r="S3" i="18"/>
  <c r="D3" i="24"/>
  <c r="D3" i="25"/>
  <c r="T46" i="18" l="1"/>
  <c r="C36" i="29" l="1"/>
  <c r="C35" i="29"/>
  <c r="S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T48" i="29"/>
  <c r="T47" i="29"/>
  <c r="T46" i="29"/>
  <c r="T45" i="29"/>
  <c r="T44" i="29"/>
  <c r="T43" i="29"/>
  <c r="T42" i="29"/>
  <c r="T41" i="29"/>
  <c r="C41" i="29"/>
  <c r="S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T36" i="29"/>
  <c r="T35" i="29"/>
  <c r="T34" i="29"/>
  <c r="T33" i="29"/>
  <c r="Z33" i="29" s="1"/>
  <c r="C33" i="29"/>
  <c r="T32" i="29"/>
  <c r="Z32" i="29" s="1"/>
  <c r="C32" i="29"/>
  <c r="T31" i="29"/>
  <c r="C31" i="29"/>
  <c r="T30" i="29"/>
  <c r="C30" i="29"/>
  <c r="T29" i="29"/>
  <c r="C29" i="29"/>
  <c r="T28" i="29"/>
  <c r="C28" i="29"/>
  <c r="T27" i="29"/>
  <c r="C27" i="29"/>
  <c r="T26" i="29"/>
  <c r="Z26" i="29" s="1"/>
  <c r="C26" i="29"/>
  <c r="T25" i="29"/>
  <c r="Z25" i="29" s="1"/>
  <c r="C25" i="29"/>
  <c r="T24" i="29"/>
  <c r="C24" i="29"/>
  <c r="T23" i="29"/>
  <c r="C23" i="29"/>
  <c r="T22" i="29"/>
  <c r="C22" i="29"/>
  <c r="T21" i="29"/>
  <c r="C21" i="29"/>
  <c r="T20" i="29"/>
  <c r="C20" i="29"/>
  <c r="T19" i="29"/>
  <c r="Z19" i="29" s="1"/>
  <c r="C19" i="29"/>
  <c r="T18" i="29"/>
  <c r="Z18" i="29" s="1"/>
  <c r="C18" i="29"/>
  <c r="T17" i="29"/>
  <c r="C17" i="29"/>
  <c r="T16" i="29"/>
  <c r="C16" i="29"/>
  <c r="T15" i="29"/>
  <c r="C15" i="29"/>
  <c r="T14" i="29"/>
  <c r="C14" i="29"/>
  <c r="T13" i="29"/>
  <c r="C13" i="29"/>
  <c r="T12" i="29"/>
  <c r="Z12" i="29" s="1"/>
  <c r="C12" i="29"/>
  <c r="T11" i="29"/>
  <c r="Z11" i="29" s="1"/>
  <c r="C11" i="29"/>
  <c r="T10" i="29"/>
  <c r="C10" i="29"/>
  <c r="T9" i="29"/>
  <c r="C9" i="29"/>
  <c r="T8" i="29"/>
  <c r="C8" i="29"/>
  <c r="T7" i="29"/>
  <c r="C7" i="29"/>
  <c r="T6" i="29"/>
  <c r="C6" i="29"/>
  <c r="S5" i="29"/>
  <c r="O5" i="29"/>
  <c r="N5" i="29"/>
  <c r="M5" i="29"/>
  <c r="L5" i="29"/>
  <c r="K5" i="29"/>
  <c r="J5" i="29"/>
  <c r="I5" i="29"/>
  <c r="H5" i="29"/>
  <c r="G5" i="29"/>
  <c r="F5" i="29"/>
  <c r="E5" i="29"/>
  <c r="D5" i="29"/>
  <c r="S4" i="29"/>
  <c r="O4" i="29"/>
  <c r="N4" i="29"/>
  <c r="M4" i="29"/>
  <c r="L4" i="29"/>
  <c r="K4" i="29"/>
  <c r="J4" i="29"/>
  <c r="I4" i="29"/>
  <c r="H4" i="29"/>
  <c r="G4" i="29"/>
  <c r="F4" i="29"/>
  <c r="E4" i="29"/>
  <c r="D4" i="29"/>
  <c r="S3" i="29"/>
  <c r="O3" i="29"/>
  <c r="N3" i="29"/>
  <c r="M3" i="29"/>
  <c r="L3" i="29"/>
  <c r="K3" i="29"/>
  <c r="J3" i="29"/>
  <c r="I3" i="29"/>
  <c r="H3" i="29"/>
  <c r="G3" i="29"/>
  <c r="F3" i="29"/>
  <c r="E3" i="29"/>
  <c r="D3" i="29"/>
  <c r="S63" i="28"/>
  <c r="Q63" i="28"/>
  <c r="P63" i="28"/>
  <c r="M63" i="28"/>
  <c r="L63" i="28"/>
  <c r="K63" i="28"/>
  <c r="J63" i="28"/>
  <c r="I63" i="28"/>
  <c r="H63" i="28"/>
  <c r="G63" i="28"/>
  <c r="F63" i="28"/>
  <c r="E63" i="28"/>
  <c r="D63" i="28"/>
  <c r="S37" i="28"/>
  <c r="Q37" i="28"/>
  <c r="P37" i="28"/>
  <c r="M37" i="28"/>
  <c r="L37" i="28"/>
  <c r="K37" i="28"/>
  <c r="J37" i="28"/>
  <c r="I37" i="28"/>
  <c r="H37" i="28"/>
  <c r="G37" i="28"/>
  <c r="F37" i="28"/>
  <c r="E37" i="28"/>
  <c r="D37" i="28"/>
  <c r="T36" i="28"/>
  <c r="T35" i="28"/>
  <c r="T34" i="28"/>
  <c r="T33" i="28"/>
  <c r="Z33" i="28" s="1"/>
  <c r="C33" i="28"/>
  <c r="T32" i="28"/>
  <c r="Z32" i="28" s="1"/>
  <c r="C32" i="28"/>
  <c r="T31" i="28"/>
  <c r="C31" i="28"/>
  <c r="T30" i="28"/>
  <c r="C30" i="28"/>
  <c r="T29" i="28"/>
  <c r="C29" i="28"/>
  <c r="T28" i="28"/>
  <c r="C28" i="28"/>
  <c r="T27" i="28"/>
  <c r="C27" i="28"/>
  <c r="T26" i="28"/>
  <c r="Z26" i="28" s="1"/>
  <c r="C26" i="28"/>
  <c r="T25" i="28"/>
  <c r="Z25" i="28" s="1"/>
  <c r="C25" i="28"/>
  <c r="T24" i="28"/>
  <c r="C24" i="28"/>
  <c r="T23" i="28"/>
  <c r="C23" i="28"/>
  <c r="T22" i="28"/>
  <c r="C22" i="28"/>
  <c r="T21" i="28"/>
  <c r="C21" i="28"/>
  <c r="T20" i="28"/>
  <c r="C20" i="28"/>
  <c r="T19" i="28"/>
  <c r="Z19" i="28" s="1"/>
  <c r="C19" i="28"/>
  <c r="T18" i="28"/>
  <c r="Z18" i="28" s="1"/>
  <c r="C18" i="28"/>
  <c r="T17" i="28"/>
  <c r="C17" i="28"/>
  <c r="T16" i="28"/>
  <c r="C16" i="28"/>
  <c r="T15" i="28"/>
  <c r="C15" i="28"/>
  <c r="T14" i="28"/>
  <c r="C14" i="28"/>
  <c r="T13" i="28"/>
  <c r="C13" i="28"/>
  <c r="T12" i="28"/>
  <c r="Z12" i="28" s="1"/>
  <c r="C12" i="28"/>
  <c r="T11" i="28"/>
  <c r="Z11" i="28" s="1"/>
  <c r="C11" i="28"/>
  <c r="T10" i="28"/>
  <c r="C10" i="28"/>
  <c r="T9" i="28"/>
  <c r="C9" i="28"/>
  <c r="T8" i="28"/>
  <c r="C8" i="28"/>
  <c r="T7" i="28"/>
  <c r="C7" i="28"/>
  <c r="T6" i="28"/>
  <c r="C6" i="28"/>
  <c r="S5" i="28"/>
  <c r="Q5" i="28"/>
  <c r="P5" i="28"/>
  <c r="M5" i="28"/>
  <c r="L5" i="28"/>
  <c r="K5" i="28"/>
  <c r="J5" i="28"/>
  <c r="I5" i="28"/>
  <c r="H5" i="28"/>
  <c r="G5" i="28"/>
  <c r="F5" i="28"/>
  <c r="E5" i="28"/>
  <c r="D5" i="28"/>
  <c r="S4" i="28"/>
  <c r="Q4" i="28"/>
  <c r="P4" i="28"/>
  <c r="M4" i="28"/>
  <c r="L4" i="28"/>
  <c r="K4" i="28"/>
  <c r="J4" i="28"/>
  <c r="I4" i="28"/>
  <c r="H4" i="28"/>
  <c r="G4" i="28"/>
  <c r="F4" i="28"/>
  <c r="E4" i="28"/>
  <c r="D4" i="28"/>
  <c r="S3" i="28"/>
  <c r="Q3" i="28"/>
  <c r="P3" i="28"/>
  <c r="M3" i="28"/>
  <c r="L3" i="28"/>
  <c r="K3" i="28"/>
  <c r="J3" i="28"/>
  <c r="I3" i="28"/>
  <c r="H3" i="28"/>
  <c r="G3" i="28"/>
  <c r="F3" i="28"/>
  <c r="E3" i="28"/>
  <c r="D3" i="28"/>
  <c r="S50" i="27"/>
  <c r="R50" i="27"/>
  <c r="O50" i="27"/>
  <c r="M50" i="27"/>
  <c r="L50" i="27"/>
  <c r="K50" i="27"/>
  <c r="J50" i="27"/>
  <c r="I50" i="27"/>
  <c r="H50" i="27"/>
  <c r="G50" i="27"/>
  <c r="F50" i="27"/>
  <c r="E50" i="27"/>
  <c r="D50" i="27"/>
  <c r="T41" i="27"/>
  <c r="C41" i="27"/>
  <c r="S37" i="27"/>
  <c r="R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T36" i="27"/>
  <c r="Z36" i="27" s="1"/>
  <c r="C36" i="27"/>
  <c r="T35" i="27"/>
  <c r="Z35" i="27" s="1"/>
  <c r="C35" i="27"/>
  <c r="T34" i="27"/>
  <c r="T33" i="27"/>
  <c r="C33" i="27"/>
  <c r="T32" i="27"/>
  <c r="C32" i="27"/>
  <c r="T31" i="27"/>
  <c r="C31" i="27"/>
  <c r="T30" i="27"/>
  <c r="C30" i="27"/>
  <c r="T29" i="27"/>
  <c r="Z29" i="27" s="1"/>
  <c r="C29" i="27"/>
  <c r="T28" i="27"/>
  <c r="Z28" i="27" s="1"/>
  <c r="C28" i="27"/>
  <c r="T27" i="27"/>
  <c r="C27" i="27"/>
  <c r="T26" i="27"/>
  <c r="C26" i="27"/>
  <c r="T25" i="27"/>
  <c r="C25" i="27"/>
  <c r="T24" i="27"/>
  <c r="C24" i="27"/>
  <c r="T23" i="27"/>
  <c r="C23" i="27"/>
  <c r="T22" i="27"/>
  <c r="Z22" i="27" s="1"/>
  <c r="C22" i="27"/>
  <c r="T21" i="27"/>
  <c r="Z21" i="27" s="1"/>
  <c r="C21" i="27"/>
  <c r="T20" i="27"/>
  <c r="C20" i="27"/>
  <c r="T19" i="27"/>
  <c r="C19" i="27"/>
  <c r="T18" i="27"/>
  <c r="C18" i="27"/>
  <c r="T17" i="27"/>
  <c r="C17" i="27"/>
  <c r="C16" i="27"/>
  <c r="T15" i="27"/>
  <c r="Z15" i="27" s="1"/>
  <c r="C15" i="27"/>
  <c r="T14" i="27"/>
  <c r="Z14" i="27" s="1"/>
  <c r="C14" i="27"/>
  <c r="T13" i="27"/>
  <c r="C13" i="27"/>
  <c r="T12" i="27"/>
  <c r="C12" i="27"/>
  <c r="T11" i="27"/>
  <c r="C11" i="27"/>
  <c r="T10" i="27"/>
  <c r="C10" i="27"/>
  <c r="T9" i="27"/>
  <c r="C9" i="27"/>
  <c r="Y8" i="27"/>
  <c r="T8" i="27"/>
  <c r="C8" i="27"/>
  <c r="Y7" i="27"/>
  <c r="T7" i="27"/>
  <c r="C7" i="27"/>
  <c r="Y6" i="27"/>
  <c r="T6" i="27"/>
  <c r="C6" i="27"/>
  <c r="S5" i="27"/>
  <c r="R5" i="27"/>
  <c r="O5" i="27"/>
  <c r="N5" i="27"/>
  <c r="M5" i="27"/>
  <c r="L5" i="27"/>
  <c r="K5" i="27"/>
  <c r="J5" i="27"/>
  <c r="I5" i="27"/>
  <c r="H5" i="27"/>
  <c r="G5" i="27"/>
  <c r="F5" i="27"/>
  <c r="E5" i="27"/>
  <c r="D5" i="27"/>
  <c r="S4" i="27"/>
  <c r="R4" i="27"/>
  <c r="O4" i="27"/>
  <c r="N4" i="27"/>
  <c r="M4" i="27"/>
  <c r="L4" i="27"/>
  <c r="K4" i="27"/>
  <c r="J4" i="27"/>
  <c r="I4" i="27"/>
  <c r="H4" i="27"/>
  <c r="G4" i="27"/>
  <c r="F4" i="27"/>
  <c r="E4" i="27"/>
  <c r="D4" i="27"/>
  <c r="S3" i="27"/>
  <c r="R3" i="27"/>
  <c r="O3" i="27"/>
  <c r="N3" i="27"/>
  <c r="M3" i="27"/>
  <c r="L3" i="27"/>
  <c r="K3" i="27"/>
  <c r="J3" i="27"/>
  <c r="I3" i="27"/>
  <c r="H3" i="27"/>
  <c r="G3" i="27"/>
  <c r="F3" i="27"/>
  <c r="E3" i="27"/>
  <c r="D3" i="27"/>
  <c r="N50" i="27"/>
  <c r="C36" i="26"/>
  <c r="S52" i="26"/>
  <c r="R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T42" i="26"/>
  <c r="T41" i="26"/>
  <c r="C41" i="26"/>
  <c r="S37" i="26"/>
  <c r="R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T36" i="26"/>
  <c r="T35" i="26"/>
  <c r="C35" i="26"/>
  <c r="T34" i="26"/>
  <c r="C34" i="26"/>
  <c r="T33" i="26"/>
  <c r="C33" i="26"/>
  <c r="T32" i="26"/>
  <c r="Z32" i="26" s="1"/>
  <c r="C32" i="26"/>
  <c r="T31" i="26"/>
  <c r="Z31" i="26" s="1"/>
  <c r="C31" i="26"/>
  <c r="T30" i="26"/>
  <c r="C30" i="26"/>
  <c r="T29" i="26"/>
  <c r="C29" i="26"/>
  <c r="T28" i="26"/>
  <c r="C28" i="26"/>
  <c r="T27" i="26"/>
  <c r="C27" i="26"/>
  <c r="T26" i="26"/>
  <c r="C26" i="26"/>
  <c r="T25" i="26"/>
  <c r="Z25" i="26" s="1"/>
  <c r="C25" i="26"/>
  <c r="T24" i="26"/>
  <c r="Z24" i="26" s="1"/>
  <c r="C24" i="26"/>
  <c r="T23" i="26"/>
  <c r="C23" i="26"/>
  <c r="T22" i="26"/>
  <c r="C22" i="26"/>
  <c r="T21" i="26"/>
  <c r="C21" i="26"/>
  <c r="T20" i="26"/>
  <c r="C20" i="26"/>
  <c r="T19" i="26"/>
  <c r="C19" i="26"/>
  <c r="T18" i="26"/>
  <c r="Z18" i="26" s="1"/>
  <c r="C18" i="26"/>
  <c r="T17" i="26"/>
  <c r="Z17" i="26" s="1"/>
  <c r="C17" i="26"/>
  <c r="T16" i="26"/>
  <c r="C16" i="26"/>
  <c r="T15" i="26"/>
  <c r="C15" i="26"/>
  <c r="C14" i="26"/>
  <c r="T13" i="26"/>
  <c r="C13" i="26"/>
  <c r="T12" i="26"/>
  <c r="C12" i="26"/>
  <c r="T11" i="26"/>
  <c r="Z11" i="26" s="1"/>
  <c r="C11" i="26"/>
  <c r="T10" i="26"/>
  <c r="Z10" i="26" s="1"/>
  <c r="C10" i="26"/>
  <c r="T9" i="26"/>
  <c r="C9" i="26"/>
  <c r="T8" i="26"/>
  <c r="C8" i="26"/>
  <c r="T7" i="26"/>
  <c r="C7" i="26"/>
  <c r="T6" i="26"/>
  <c r="C6" i="26"/>
  <c r="S5" i="26"/>
  <c r="R5" i="26"/>
  <c r="O5" i="26"/>
  <c r="N5" i="26"/>
  <c r="M5" i="26"/>
  <c r="L5" i="26"/>
  <c r="K5" i="26"/>
  <c r="J5" i="26"/>
  <c r="I5" i="26"/>
  <c r="H5" i="26"/>
  <c r="G5" i="26"/>
  <c r="F5" i="26"/>
  <c r="E5" i="26"/>
  <c r="D5" i="26"/>
  <c r="S4" i="26"/>
  <c r="R4" i="26"/>
  <c r="O4" i="26"/>
  <c r="N4" i="26"/>
  <c r="M4" i="26"/>
  <c r="L4" i="26"/>
  <c r="K4" i="26"/>
  <c r="J4" i="26"/>
  <c r="I4" i="26"/>
  <c r="H4" i="26"/>
  <c r="G4" i="26"/>
  <c r="F4" i="26"/>
  <c r="E4" i="26"/>
  <c r="D4" i="26"/>
  <c r="S3" i="26"/>
  <c r="R3" i="26"/>
  <c r="O3" i="26"/>
  <c r="N3" i="26"/>
  <c r="M3" i="26"/>
  <c r="L3" i="26"/>
  <c r="K3" i="26"/>
  <c r="J3" i="26"/>
  <c r="I3" i="26"/>
  <c r="H3" i="26"/>
  <c r="G3" i="26"/>
  <c r="F3" i="26"/>
  <c r="E3" i="26"/>
  <c r="D3" i="26"/>
  <c r="P50" i="25"/>
  <c r="P37" i="25"/>
  <c r="P5" i="25"/>
  <c r="P4" i="25"/>
  <c r="P3" i="25"/>
  <c r="S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T45" i="25"/>
  <c r="T44" i="25"/>
  <c r="T43" i="25"/>
  <c r="T42" i="25"/>
  <c r="T41" i="25"/>
  <c r="S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T35" i="25"/>
  <c r="C35" i="25"/>
  <c r="T34" i="25"/>
  <c r="Z34" i="25" s="1"/>
  <c r="C34" i="25"/>
  <c r="T33" i="25"/>
  <c r="Z33" i="25" s="1"/>
  <c r="C33" i="25"/>
  <c r="T32" i="25"/>
  <c r="C32" i="25"/>
  <c r="T31" i="25"/>
  <c r="C31" i="25"/>
  <c r="T30" i="25"/>
  <c r="C30" i="25"/>
  <c r="T29" i="25"/>
  <c r="C29" i="25"/>
  <c r="T28" i="25"/>
  <c r="C28" i="25"/>
  <c r="T27" i="25"/>
  <c r="Z27" i="25" s="1"/>
  <c r="C27" i="25"/>
  <c r="T26" i="25"/>
  <c r="Z26" i="25" s="1"/>
  <c r="C26" i="25"/>
  <c r="T25" i="25"/>
  <c r="C25" i="25"/>
  <c r="T24" i="25"/>
  <c r="C24" i="25"/>
  <c r="T23" i="25"/>
  <c r="C23" i="25"/>
  <c r="T22" i="25"/>
  <c r="C22" i="25"/>
  <c r="T21" i="25"/>
  <c r="C21" i="25"/>
  <c r="T20" i="25"/>
  <c r="Z20" i="25" s="1"/>
  <c r="C20" i="25"/>
  <c r="T19" i="25"/>
  <c r="Z19" i="25" s="1"/>
  <c r="C19" i="25"/>
  <c r="T18" i="25"/>
  <c r="C18" i="25"/>
  <c r="T17" i="25"/>
  <c r="C17" i="25"/>
  <c r="T16" i="25"/>
  <c r="C16" i="25"/>
  <c r="T15" i="25"/>
  <c r="C15" i="25"/>
  <c r="T14" i="25"/>
  <c r="C14" i="25"/>
  <c r="T13" i="25"/>
  <c r="Z13" i="25" s="1"/>
  <c r="C13" i="25"/>
  <c r="T12" i="25"/>
  <c r="Z12" i="25" s="1"/>
  <c r="C12" i="25"/>
  <c r="T11" i="25"/>
  <c r="C11" i="25"/>
  <c r="T10" i="25"/>
  <c r="C10" i="25"/>
  <c r="T9" i="25"/>
  <c r="C9" i="25"/>
  <c r="T8" i="25"/>
  <c r="C8" i="25"/>
  <c r="T7" i="25"/>
  <c r="C7" i="25"/>
  <c r="T6" i="25"/>
  <c r="Z6" i="25" s="1"/>
  <c r="C6" i="25"/>
  <c r="S5" i="25"/>
  <c r="O5" i="25"/>
  <c r="N5" i="25"/>
  <c r="M5" i="25"/>
  <c r="L5" i="25"/>
  <c r="K5" i="25"/>
  <c r="J5" i="25"/>
  <c r="I5" i="25"/>
  <c r="H5" i="25"/>
  <c r="G5" i="25"/>
  <c r="F5" i="25"/>
  <c r="E5" i="25"/>
  <c r="D5" i="25"/>
  <c r="S4" i="25"/>
  <c r="O4" i="25"/>
  <c r="N4" i="25"/>
  <c r="M4" i="25"/>
  <c r="L4" i="25"/>
  <c r="K4" i="25"/>
  <c r="J4" i="25"/>
  <c r="I4" i="25"/>
  <c r="H4" i="25"/>
  <c r="G4" i="25"/>
  <c r="F4" i="25"/>
  <c r="E4" i="25"/>
  <c r="D4" i="25"/>
  <c r="S3" i="25"/>
  <c r="O3" i="25"/>
  <c r="N3" i="25"/>
  <c r="M3" i="25"/>
  <c r="L3" i="25"/>
  <c r="K3" i="25"/>
  <c r="J3" i="25"/>
  <c r="I3" i="25"/>
  <c r="H3" i="25"/>
  <c r="G3" i="25"/>
  <c r="F3" i="25"/>
  <c r="E3" i="25"/>
  <c r="C36" i="24"/>
  <c r="S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T44" i="24"/>
  <c r="T43" i="24"/>
  <c r="T41" i="24"/>
  <c r="C41" i="24"/>
  <c r="S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T36" i="24"/>
  <c r="Z36" i="24" s="1"/>
  <c r="T35" i="24"/>
  <c r="C35" i="24"/>
  <c r="T34" i="24"/>
  <c r="C34" i="24"/>
  <c r="T33" i="24"/>
  <c r="C33" i="24"/>
  <c r="T32" i="24"/>
  <c r="C32" i="24"/>
  <c r="T31" i="24"/>
  <c r="C31" i="24"/>
  <c r="T30" i="24"/>
  <c r="Z30" i="24" s="1"/>
  <c r="C30" i="24"/>
  <c r="T29" i="24"/>
  <c r="Z29" i="24" s="1"/>
  <c r="C29" i="24"/>
  <c r="T28" i="24"/>
  <c r="C28" i="24"/>
  <c r="T27" i="24"/>
  <c r="C27" i="24"/>
  <c r="T26" i="24"/>
  <c r="C26" i="24"/>
  <c r="T25" i="24"/>
  <c r="C25" i="24"/>
  <c r="T24" i="24"/>
  <c r="C24" i="24"/>
  <c r="T23" i="24"/>
  <c r="Z23" i="24" s="1"/>
  <c r="C23" i="24"/>
  <c r="T22" i="24"/>
  <c r="Z22" i="24" s="1"/>
  <c r="C22" i="24"/>
  <c r="T21" i="24"/>
  <c r="C21" i="24"/>
  <c r="T20" i="24"/>
  <c r="C20" i="24"/>
  <c r="T19" i="24"/>
  <c r="C19" i="24"/>
  <c r="T18" i="24"/>
  <c r="C18" i="24"/>
  <c r="T17" i="24"/>
  <c r="Z17" i="24" s="1"/>
  <c r="C17" i="24"/>
  <c r="T16" i="24"/>
  <c r="Z16" i="24" s="1"/>
  <c r="C16" i="24"/>
  <c r="T15" i="24"/>
  <c r="Z15" i="24" s="1"/>
  <c r="C15" i="24"/>
  <c r="T14" i="24"/>
  <c r="C14" i="24"/>
  <c r="T13" i="24"/>
  <c r="C13" i="24"/>
  <c r="T12" i="24"/>
  <c r="C12" i="24"/>
  <c r="T11" i="24"/>
  <c r="C11" i="24"/>
  <c r="T10" i="24"/>
  <c r="C10" i="24"/>
  <c r="T9" i="24"/>
  <c r="Z9" i="24" s="1"/>
  <c r="C9" i="24"/>
  <c r="T8" i="24"/>
  <c r="Z8" i="24" s="1"/>
  <c r="C8" i="24"/>
  <c r="T7" i="24"/>
  <c r="C7" i="24"/>
  <c r="T6" i="24"/>
  <c r="C6" i="24"/>
  <c r="S5" i="24"/>
  <c r="P5" i="24"/>
  <c r="O5" i="24"/>
  <c r="N5" i="24"/>
  <c r="M5" i="24"/>
  <c r="L5" i="24"/>
  <c r="K5" i="24"/>
  <c r="J5" i="24"/>
  <c r="I5" i="24"/>
  <c r="H5" i="24"/>
  <c r="G5" i="24"/>
  <c r="F5" i="24"/>
  <c r="E5" i="24"/>
  <c r="D5" i="24"/>
  <c r="S4" i="24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S3" i="24"/>
  <c r="P3" i="24"/>
  <c r="O3" i="24"/>
  <c r="N3" i="24"/>
  <c r="M3" i="24"/>
  <c r="L3" i="24"/>
  <c r="K3" i="24"/>
  <c r="J3" i="24"/>
  <c r="I3" i="24"/>
  <c r="H3" i="24"/>
  <c r="G3" i="24"/>
  <c r="F3" i="24"/>
  <c r="E3" i="24"/>
  <c r="S50" i="23"/>
  <c r="Q50" i="23"/>
  <c r="O50" i="23"/>
  <c r="N50" i="23"/>
  <c r="M50" i="23"/>
  <c r="L50" i="23"/>
  <c r="K50" i="23"/>
  <c r="I50" i="23"/>
  <c r="H50" i="23"/>
  <c r="G50" i="23"/>
  <c r="F50" i="23"/>
  <c r="E50" i="23"/>
  <c r="D50" i="23"/>
  <c r="J50" i="23"/>
  <c r="S37" i="23"/>
  <c r="Q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S5" i="23"/>
  <c r="Q5" i="23"/>
  <c r="O5" i="23"/>
  <c r="N5" i="23"/>
  <c r="M5" i="23"/>
  <c r="L5" i="23"/>
  <c r="K5" i="23"/>
  <c r="J5" i="23"/>
  <c r="I5" i="23"/>
  <c r="H5" i="23"/>
  <c r="G5" i="23"/>
  <c r="F5" i="23"/>
  <c r="E5" i="23"/>
  <c r="D5" i="23"/>
  <c r="S4" i="23"/>
  <c r="Q4" i="23"/>
  <c r="O4" i="23"/>
  <c r="N4" i="23"/>
  <c r="M4" i="23"/>
  <c r="L4" i="23"/>
  <c r="K4" i="23"/>
  <c r="J4" i="23"/>
  <c r="I4" i="23"/>
  <c r="H4" i="23"/>
  <c r="G4" i="23"/>
  <c r="F4" i="23"/>
  <c r="E4" i="23"/>
  <c r="D4" i="23"/>
  <c r="S3" i="23"/>
  <c r="Q3" i="23"/>
  <c r="O3" i="23"/>
  <c r="N3" i="23"/>
  <c r="M3" i="23"/>
  <c r="L3" i="23"/>
  <c r="K3" i="23"/>
  <c r="J3" i="23"/>
  <c r="I3" i="23"/>
  <c r="H3" i="23"/>
  <c r="G3" i="23"/>
  <c r="F3" i="23"/>
  <c r="E3" i="23"/>
  <c r="D3" i="23"/>
  <c r="S37" i="22"/>
  <c r="R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S5" i="22"/>
  <c r="O5" i="22"/>
  <c r="N5" i="22"/>
  <c r="M5" i="22"/>
  <c r="L5" i="22"/>
  <c r="K5" i="22"/>
  <c r="J5" i="22"/>
  <c r="I5" i="22"/>
  <c r="H5" i="22"/>
  <c r="G5" i="22"/>
  <c r="F5" i="22"/>
  <c r="E5" i="22"/>
  <c r="D5" i="22"/>
  <c r="S4" i="22"/>
  <c r="O4" i="22"/>
  <c r="N4" i="22"/>
  <c r="M4" i="22"/>
  <c r="L4" i="22"/>
  <c r="K4" i="22"/>
  <c r="J4" i="22"/>
  <c r="I4" i="22"/>
  <c r="H4" i="22"/>
  <c r="G4" i="22"/>
  <c r="F4" i="22"/>
  <c r="E4" i="22"/>
  <c r="D4" i="22"/>
  <c r="S3" i="22"/>
  <c r="O3" i="22"/>
  <c r="N3" i="22"/>
  <c r="M3" i="22"/>
  <c r="L3" i="22"/>
  <c r="K3" i="22"/>
  <c r="J3" i="22"/>
  <c r="I3" i="22"/>
  <c r="H3" i="22"/>
  <c r="G3" i="22"/>
  <c r="F3" i="22"/>
  <c r="E3" i="22"/>
  <c r="D3" i="22"/>
  <c r="O5" i="21"/>
  <c r="N5" i="21"/>
  <c r="M5" i="21"/>
  <c r="L5" i="21"/>
  <c r="K5" i="21"/>
  <c r="J5" i="21"/>
  <c r="I5" i="21"/>
  <c r="H5" i="21"/>
  <c r="G5" i="21"/>
  <c r="F5" i="21"/>
  <c r="E5" i="21"/>
  <c r="D5" i="21"/>
  <c r="O4" i="21"/>
  <c r="N4" i="21"/>
  <c r="M4" i="21"/>
  <c r="L4" i="21"/>
  <c r="K4" i="21"/>
  <c r="J4" i="21"/>
  <c r="I4" i="21"/>
  <c r="H4" i="21"/>
  <c r="G4" i="21"/>
  <c r="F4" i="21"/>
  <c r="E4" i="21"/>
  <c r="D4" i="21"/>
  <c r="O3" i="21"/>
  <c r="N3" i="21"/>
  <c r="M3" i="21"/>
  <c r="L3" i="21"/>
  <c r="K3" i="21"/>
  <c r="J3" i="21"/>
  <c r="I3" i="21"/>
  <c r="H3" i="21"/>
  <c r="G3" i="21"/>
  <c r="F3" i="21"/>
  <c r="E3" i="21"/>
  <c r="D3" i="21"/>
  <c r="S4" i="20"/>
  <c r="S3" i="20"/>
  <c r="C6" i="20"/>
  <c r="S4" i="21"/>
  <c r="S3" i="21"/>
  <c r="C36" i="21"/>
  <c r="S50" i="21"/>
  <c r="R50" i="21"/>
  <c r="N50" i="21"/>
  <c r="M50" i="21"/>
  <c r="L50" i="21"/>
  <c r="K50" i="21"/>
  <c r="J50" i="21"/>
  <c r="I50" i="21"/>
  <c r="H50" i="21"/>
  <c r="G50" i="21"/>
  <c r="E50" i="21"/>
  <c r="D50" i="21"/>
  <c r="T49" i="21"/>
  <c r="T48" i="21"/>
  <c r="T47" i="21"/>
  <c r="T46" i="21"/>
  <c r="T45" i="21"/>
  <c r="T44" i="21"/>
  <c r="T43" i="21"/>
  <c r="T42" i="21"/>
  <c r="F50" i="21"/>
  <c r="S37" i="21"/>
  <c r="R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T20" i="21"/>
  <c r="C20" i="21"/>
  <c r="T19" i="21"/>
  <c r="C19" i="21"/>
  <c r="T18" i="21"/>
  <c r="C18" i="21"/>
  <c r="T17" i="21"/>
  <c r="Z17" i="21" s="1"/>
  <c r="C17" i="21"/>
  <c r="T16" i="21"/>
  <c r="Z16" i="21" s="1"/>
  <c r="C16" i="21"/>
  <c r="T15" i="21"/>
  <c r="C15" i="21"/>
  <c r="T14" i="21"/>
  <c r="C14" i="21"/>
  <c r="T13" i="21"/>
  <c r="C13" i="21"/>
  <c r="T12" i="21"/>
  <c r="C12" i="21"/>
  <c r="T11" i="21"/>
  <c r="C11" i="21"/>
  <c r="T10" i="21"/>
  <c r="Z10" i="21" s="1"/>
  <c r="C10" i="21"/>
  <c r="T9" i="21"/>
  <c r="Z9" i="21" s="1"/>
  <c r="C9" i="21"/>
  <c r="T8" i="21"/>
  <c r="C8" i="21"/>
  <c r="T7" i="21"/>
  <c r="C7" i="21"/>
  <c r="T6" i="21"/>
  <c r="C6" i="21"/>
  <c r="O50" i="21"/>
  <c r="T41" i="21"/>
  <c r="S50" i="20"/>
  <c r="R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T49" i="20"/>
  <c r="T46" i="20"/>
  <c r="S37" i="20"/>
  <c r="R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O5" i="20"/>
  <c r="N5" i="20"/>
  <c r="M5" i="20"/>
  <c r="L5" i="20"/>
  <c r="K5" i="20"/>
  <c r="J5" i="20"/>
  <c r="I5" i="20"/>
  <c r="H5" i="20"/>
  <c r="G5" i="20"/>
  <c r="F5" i="20"/>
  <c r="E5" i="20"/>
  <c r="D5" i="20"/>
  <c r="O4" i="20"/>
  <c r="N4" i="20"/>
  <c r="M4" i="20"/>
  <c r="L4" i="20"/>
  <c r="K4" i="20"/>
  <c r="J4" i="20"/>
  <c r="I4" i="20"/>
  <c r="H4" i="20"/>
  <c r="G4" i="20"/>
  <c r="F4" i="20"/>
  <c r="E4" i="20"/>
  <c r="D4" i="20"/>
  <c r="O3" i="20"/>
  <c r="N3" i="20"/>
  <c r="M3" i="20"/>
  <c r="L3" i="20"/>
  <c r="K3" i="20"/>
  <c r="J3" i="20"/>
  <c r="I3" i="20"/>
  <c r="H3" i="20"/>
  <c r="G3" i="20"/>
  <c r="F3" i="20"/>
  <c r="E3" i="20"/>
  <c r="D3" i="20"/>
  <c r="C36" i="19"/>
  <c r="T45" i="19"/>
  <c r="T46" i="19"/>
  <c r="T47" i="19"/>
  <c r="T48" i="19"/>
  <c r="T49" i="19"/>
  <c r="S50" i="19"/>
  <c r="R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T6" i="19"/>
  <c r="T7" i="19"/>
  <c r="Z7" i="19" s="1"/>
  <c r="T8" i="19"/>
  <c r="T9" i="19"/>
  <c r="T10" i="19"/>
  <c r="T11" i="19"/>
  <c r="T12" i="19"/>
  <c r="T13" i="19"/>
  <c r="T14" i="19"/>
  <c r="Z14" i="19" s="1"/>
  <c r="T15" i="19"/>
  <c r="Z15" i="19" s="1"/>
  <c r="T16" i="19"/>
  <c r="T17" i="19"/>
  <c r="T18" i="19"/>
  <c r="T19" i="19"/>
  <c r="T20" i="19"/>
  <c r="S37" i="19"/>
  <c r="R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O5" i="19"/>
  <c r="N5" i="19"/>
  <c r="M5" i="19"/>
  <c r="L5" i="19"/>
  <c r="K5" i="19"/>
  <c r="J5" i="19"/>
  <c r="I5" i="19"/>
  <c r="H5" i="19"/>
  <c r="G5" i="19"/>
  <c r="F5" i="19"/>
  <c r="E5" i="19"/>
  <c r="D5" i="19"/>
  <c r="O4" i="19"/>
  <c r="N4" i="19"/>
  <c r="M4" i="19"/>
  <c r="L4" i="19"/>
  <c r="K4" i="19"/>
  <c r="J4" i="19"/>
  <c r="I4" i="19"/>
  <c r="H4" i="19"/>
  <c r="G4" i="19"/>
  <c r="F4" i="19"/>
  <c r="E4" i="19"/>
  <c r="D4" i="19"/>
  <c r="O3" i="19"/>
  <c r="N3" i="19"/>
  <c r="M3" i="19"/>
  <c r="L3" i="19"/>
  <c r="K3" i="19"/>
  <c r="J3" i="19"/>
  <c r="I3" i="19"/>
  <c r="H3" i="19"/>
  <c r="G3" i="19"/>
  <c r="F3" i="19"/>
  <c r="E3" i="19"/>
  <c r="D3" i="19"/>
  <c r="E5" i="18"/>
  <c r="E4" i="18"/>
  <c r="E3" i="18"/>
  <c r="C6" i="18"/>
  <c r="T50" i="18"/>
  <c r="S50" i="18"/>
  <c r="R50" i="18"/>
  <c r="Q50" i="18"/>
  <c r="N50" i="18"/>
  <c r="M50" i="18"/>
  <c r="K50" i="18"/>
  <c r="J50" i="18"/>
  <c r="I50" i="18"/>
  <c r="H50" i="18"/>
  <c r="G50" i="18"/>
  <c r="F50" i="18"/>
  <c r="D50" i="18"/>
  <c r="T6" i="18"/>
  <c r="Z6" i="18" s="1"/>
  <c r="T7" i="18"/>
  <c r="T8" i="18"/>
  <c r="T9" i="18"/>
  <c r="T10" i="18"/>
  <c r="T11" i="18"/>
  <c r="T12" i="18"/>
  <c r="T13" i="18"/>
  <c r="T14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S37" i="18"/>
  <c r="R37" i="18"/>
  <c r="Q37" i="18"/>
  <c r="N37" i="18"/>
  <c r="M37" i="18"/>
  <c r="K37" i="18"/>
  <c r="J37" i="18"/>
  <c r="I37" i="18"/>
  <c r="H37" i="18"/>
  <c r="G37" i="18"/>
  <c r="F37" i="18"/>
  <c r="D37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Q5" i="18"/>
  <c r="N5" i="18"/>
  <c r="M5" i="18"/>
  <c r="L5" i="18"/>
  <c r="K5" i="18"/>
  <c r="J5" i="18"/>
  <c r="I5" i="18"/>
  <c r="H5" i="18"/>
  <c r="G5" i="18"/>
  <c r="F5" i="18"/>
  <c r="D5" i="18"/>
  <c r="Q4" i="18"/>
  <c r="N4" i="18"/>
  <c r="M4" i="18"/>
  <c r="L4" i="18"/>
  <c r="K4" i="18"/>
  <c r="J4" i="18"/>
  <c r="I4" i="18"/>
  <c r="H4" i="18"/>
  <c r="G4" i="18"/>
  <c r="F4" i="18"/>
  <c r="D4" i="18"/>
  <c r="Q3" i="18"/>
  <c r="N3" i="18"/>
  <c r="M3" i="18"/>
  <c r="L3" i="18"/>
  <c r="K3" i="18"/>
  <c r="J3" i="18"/>
  <c r="I3" i="18"/>
  <c r="H3" i="18"/>
  <c r="G3" i="18"/>
  <c r="F3" i="18"/>
  <c r="D3" i="18"/>
  <c r="AA37" i="28" l="1"/>
  <c r="AA37" i="27"/>
  <c r="T37" i="26"/>
  <c r="AA37" i="26"/>
  <c r="AA37" i="25"/>
  <c r="AA37" i="24"/>
  <c r="AA37" i="23"/>
  <c r="T37" i="28"/>
  <c r="T37" i="21"/>
  <c r="T50" i="22"/>
  <c r="T37" i="22"/>
  <c r="T52" i="26"/>
  <c r="Z7" i="27"/>
  <c r="Z8" i="27"/>
  <c r="Z6" i="27"/>
  <c r="T50" i="24"/>
  <c r="T50" i="27"/>
  <c r="T50" i="20"/>
  <c r="T50" i="19"/>
  <c r="T50" i="25"/>
  <c r="T52" i="29"/>
  <c r="T63" i="28"/>
  <c r="T37" i="24"/>
  <c r="T50" i="23"/>
  <c r="T37" i="23"/>
  <c r="T50" i="21"/>
  <c r="T37" i="19"/>
  <c r="T37" i="27"/>
  <c r="T37" i="25"/>
  <c r="T37" i="20"/>
  <c r="T37" i="18"/>
  <c r="T37" i="29"/>
  <c r="AA37" i="29" l="1"/>
</calcChain>
</file>

<file path=xl/sharedStrings.xml><?xml version="1.0" encoding="utf-8"?>
<sst xmlns="http://schemas.openxmlformats.org/spreadsheetml/2006/main" count="440" uniqueCount="170">
  <si>
    <t>合計</t>
    <rPh sb="0" eb="2">
      <t>ゴウケイ</t>
    </rPh>
    <phoneticPr fontId="1"/>
  </si>
  <si>
    <t>no.</t>
    <phoneticPr fontId="3"/>
  </si>
  <si>
    <t>件番</t>
    <rPh sb="0" eb="2">
      <t>ケンバン</t>
    </rPh>
    <phoneticPr fontId="3"/>
  </si>
  <si>
    <t>件名</t>
    <rPh sb="0" eb="2">
      <t>ケンメイ</t>
    </rPh>
    <phoneticPr fontId="3"/>
  </si>
  <si>
    <t>管理者</t>
    <rPh sb="0" eb="3">
      <t>カンリシャ</t>
    </rPh>
    <phoneticPr fontId="3"/>
  </si>
  <si>
    <t>備考</t>
    <rPh sb="0" eb="2">
      <t>ビコウ</t>
    </rPh>
    <phoneticPr fontId="1"/>
  </si>
  <si>
    <t>No.
（件番SheetのNo.を入力⇒）</t>
    <rPh sb="5" eb="7">
      <t>ケンバン</t>
    </rPh>
    <rPh sb="17" eb="19">
      <t>ニュウリョク</t>
    </rPh>
    <phoneticPr fontId="1"/>
  </si>
  <si>
    <t>件番（自動入力）</t>
    <rPh sb="0" eb="2">
      <t>ケンバン</t>
    </rPh>
    <rPh sb="3" eb="5">
      <t>ジドウ</t>
    </rPh>
    <rPh sb="5" eb="7">
      <t>ニュウリョク</t>
    </rPh>
    <phoneticPr fontId="1"/>
  </si>
  <si>
    <t>件名（自動入力）</t>
    <rPh sb="0" eb="2">
      <t>ケンメイ</t>
    </rPh>
    <phoneticPr fontId="1"/>
  </si>
  <si>
    <t>管理（自動入力）</t>
    <rPh sb="0" eb="2">
      <t>カンリ</t>
    </rPh>
    <phoneticPr fontId="1"/>
  </si>
  <si>
    <t>関東交技会議（支店、生産</t>
    <phoneticPr fontId="1"/>
  </si>
  <si>
    <t>2032B1007</t>
    <phoneticPr fontId="1"/>
  </si>
  <si>
    <t>2032B1011</t>
    <phoneticPr fontId="1"/>
  </si>
  <si>
    <t>関東交技講習・研修・試験</t>
    <phoneticPr fontId="1"/>
  </si>
  <si>
    <t>関東交技年休</t>
    <phoneticPr fontId="1"/>
  </si>
  <si>
    <t>2032B1000</t>
    <phoneticPr fontId="1"/>
  </si>
  <si>
    <t>始業</t>
    <rPh sb="0" eb="2">
      <t>シギョウ</t>
    </rPh>
    <phoneticPr fontId="1"/>
  </si>
  <si>
    <t>終業</t>
    <rPh sb="0" eb="2">
      <t>シュウギョウ</t>
    </rPh>
    <phoneticPr fontId="1"/>
  </si>
  <si>
    <t>休憩</t>
    <rPh sb="0" eb="2">
      <t>キュウケイ</t>
    </rPh>
    <phoneticPr fontId="1"/>
  </si>
  <si>
    <t>就業時間</t>
    <rPh sb="0" eb="2">
      <t>シュウギョウ</t>
    </rPh>
    <rPh sb="2" eb="4">
      <t>ジカン</t>
    </rPh>
    <phoneticPr fontId="1"/>
  </si>
  <si>
    <t>チェック</t>
    <phoneticPr fontId="1"/>
  </si>
  <si>
    <t>月</t>
    <rPh sb="0" eb="1">
      <t>ツキ</t>
    </rPh>
    <phoneticPr fontId="1"/>
  </si>
  <si>
    <t>直接経費（交通費等）</t>
    <rPh sb="0" eb="2">
      <t>チョクセツ</t>
    </rPh>
    <rPh sb="2" eb="4">
      <t>ケイヒ</t>
    </rPh>
    <rPh sb="5" eb="8">
      <t>コウツウヒ</t>
    </rPh>
    <rPh sb="8" eb="9">
      <t>トウ</t>
    </rPh>
    <phoneticPr fontId="1"/>
  </si>
  <si>
    <t>合計（円）</t>
    <rPh sb="0" eb="2">
      <t>ゴウケイ</t>
    </rPh>
    <rPh sb="3" eb="4">
      <t>エン</t>
    </rPh>
    <phoneticPr fontId="1"/>
  </si>
  <si>
    <t>憲法記念日</t>
    <rPh sb="0" eb="2">
      <t>ケンポウ</t>
    </rPh>
    <rPh sb="2" eb="5">
      <t>キネンビ</t>
    </rPh>
    <phoneticPr fontId="1"/>
  </si>
  <si>
    <t>みどりの日</t>
    <rPh sb="4" eb="5">
      <t>ヒ</t>
    </rPh>
    <phoneticPr fontId="1"/>
  </si>
  <si>
    <t>こどもの日</t>
    <rPh sb="4" eb="5">
      <t>ヒ</t>
    </rPh>
    <phoneticPr fontId="1"/>
  </si>
  <si>
    <t>海の日</t>
    <rPh sb="0" eb="1">
      <t>ウミ</t>
    </rPh>
    <rPh sb="2" eb="3">
      <t>ヒ</t>
    </rPh>
    <phoneticPr fontId="1"/>
  </si>
  <si>
    <t>勤労感謝の日</t>
    <rPh sb="0" eb="2">
      <t>キンロウ</t>
    </rPh>
    <rPh sb="2" eb="4">
      <t>カンシャ</t>
    </rPh>
    <rPh sb="5" eb="6">
      <t>ヒ</t>
    </rPh>
    <phoneticPr fontId="1"/>
  </si>
  <si>
    <t>成人の日</t>
    <rPh sb="0" eb="2">
      <t>セイジン</t>
    </rPh>
    <rPh sb="3" eb="4">
      <t>ヒ</t>
    </rPh>
    <phoneticPr fontId="1"/>
  </si>
  <si>
    <t>春分の日</t>
    <rPh sb="0" eb="2">
      <t>シュンブン</t>
    </rPh>
    <rPh sb="3" eb="4">
      <t>ヒ</t>
    </rPh>
    <phoneticPr fontId="1"/>
  </si>
  <si>
    <t>建国記念の日</t>
    <rPh sb="0" eb="2">
      <t>ケンコク</t>
    </rPh>
    <rPh sb="2" eb="4">
      <t>キネン</t>
    </rPh>
    <rPh sb="5" eb="6">
      <t>ヒ</t>
    </rPh>
    <phoneticPr fontId="1"/>
  </si>
  <si>
    <t>昭和の日</t>
    <rPh sb="0" eb="2">
      <t>ショウワ</t>
    </rPh>
    <rPh sb="3" eb="4">
      <t>ヒ</t>
    </rPh>
    <phoneticPr fontId="1"/>
  </si>
  <si>
    <t>2032B1008</t>
    <phoneticPr fontId="1"/>
  </si>
  <si>
    <t>関東交通整備</t>
    <rPh sb="0" eb="2">
      <t>カントウ</t>
    </rPh>
    <rPh sb="2" eb="4">
      <t>コウツウ</t>
    </rPh>
    <rPh sb="4" eb="6">
      <t>セイビ</t>
    </rPh>
    <phoneticPr fontId="1"/>
  </si>
  <si>
    <t>山の日</t>
    <rPh sb="0" eb="1">
      <t>ヤマ</t>
    </rPh>
    <rPh sb="2" eb="3">
      <t>ヒ</t>
    </rPh>
    <phoneticPr fontId="1"/>
  </si>
  <si>
    <t>文化の日</t>
    <rPh sb="0" eb="2">
      <t>ブンカ</t>
    </rPh>
    <rPh sb="3" eb="4">
      <t>ヒ</t>
    </rPh>
    <phoneticPr fontId="1"/>
  </si>
  <si>
    <t>天皇誕生日</t>
    <rPh sb="0" eb="2">
      <t>テンノウ</t>
    </rPh>
    <rPh sb="2" eb="5">
      <t>タンジョウビ</t>
    </rPh>
    <phoneticPr fontId="1"/>
  </si>
  <si>
    <t>2032B9900</t>
    <phoneticPr fontId="1"/>
  </si>
  <si>
    <t>コロナ対応</t>
    <rPh sb="3" eb="5">
      <t>タイオウ</t>
    </rPh>
    <phoneticPr fontId="1"/>
  </si>
  <si>
    <t>林祐志</t>
    <phoneticPr fontId="1"/>
  </si>
  <si>
    <t>堤慎司</t>
    <rPh sb="0" eb="1">
      <t>ツツミ</t>
    </rPh>
    <rPh sb="1" eb="3">
      <t>シンジ</t>
    </rPh>
    <phoneticPr fontId="1"/>
  </si>
  <si>
    <t>随）外環工事影響検討</t>
    <rPh sb="0" eb="1">
      <t>ズイ</t>
    </rPh>
    <rPh sb="2" eb="4">
      <t>ガイカン</t>
    </rPh>
    <rPh sb="4" eb="6">
      <t>コウジ</t>
    </rPh>
    <rPh sb="6" eb="8">
      <t>エイキョウ</t>
    </rPh>
    <rPh sb="8" eb="10">
      <t>ケントウ</t>
    </rPh>
    <phoneticPr fontId="1"/>
  </si>
  <si>
    <t>H6420399B</t>
    <phoneticPr fontId="1"/>
  </si>
  <si>
    <t>随）R3アクア渋滞対策</t>
    <phoneticPr fontId="1"/>
  </si>
  <si>
    <t>P）Ｒ３特殊車両適正化</t>
    <rPh sb="4" eb="6">
      <t>トクシュ</t>
    </rPh>
    <rPh sb="6" eb="8">
      <t>シャリョウ</t>
    </rPh>
    <rPh sb="8" eb="10">
      <t>テキセイ</t>
    </rPh>
    <rPh sb="10" eb="11">
      <t>カ</t>
    </rPh>
    <phoneticPr fontId="1"/>
  </si>
  <si>
    <t xml:space="preserve">菊池省二   </t>
    <phoneticPr fontId="1"/>
  </si>
  <si>
    <t>H64206880</t>
    <phoneticPr fontId="1"/>
  </si>
  <si>
    <t>随）R3横浜新道資料作成</t>
    <rPh sb="0" eb="1">
      <t>ズイ</t>
    </rPh>
    <rPh sb="4" eb="6">
      <t>ヨコハマ</t>
    </rPh>
    <rPh sb="6" eb="8">
      <t>シンドウ</t>
    </rPh>
    <rPh sb="8" eb="10">
      <t>シリョウ</t>
    </rPh>
    <rPh sb="10" eb="12">
      <t>サクセイ</t>
    </rPh>
    <phoneticPr fontId="1"/>
  </si>
  <si>
    <t>H6420437A</t>
    <phoneticPr fontId="1"/>
  </si>
  <si>
    <t>H6420412A</t>
    <phoneticPr fontId="1"/>
  </si>
  <si>
    <t>OC創立記念日</t>
    <rPh sb="2" eb="7">
      <t>ソウリツキネンビ</t>
    </rPh>
    <phoneticPr fontId="1"/>
  </si>
  <si>
    <t xml:space="preserve">後藤秀典        </t>
    <phoneticPr fontId="1"/>
  </si>
  <si>
    <t>随）Ｒ３上瀬谷交通アセス</t>
    <rPh sb="0" eb="1">
      <t>ズイ</t>
    </rPh>
    <rPh sb="4" eb="7">
      <t>カミセヤ</t>
    </rPh>
    <rPh sb="7" eb="9">
      <t>コウツウ</t>
    </rPh>
    <phoneticPr fontId="1"/>
  </si>
  <si>
    <t>H6420508B</t>
    <phoneticPr fontId="1"/>
  </si>
  <si>
    <t>H65200820</t>
    <phoneticPr fontId="1"/>
  </si>
  <si>
    <t>Ｐ）特車通行取締調査</t>
    <rPh sb="2" eb="4">
      <t>トクシャ</t>
    </rPh>
    <rPh sb="4" eb="6">
      <t>ツウコウ</t>
    </rPh>
    <rPh sb="6" eb="8">
      <t>トリシマリ</t>
    </rPh>
    <rPh sb="8" eb="10">
      <t>チョウサ</t>
    </rPh>
    <phoneticPr fontId="1"/>
  </si>
  <si>
    <t>H6420396A</t>
    <phoneticPr fontId="1"/>
  </si>
  <si>
    <t>Ｐ）Ｒ３常陸交通安全検討</t>
    <phoneticPr fontId="1"/>
  </si>
  <si>
    <t>H6470031B</t>
  </si>
  <si>
    <t>簡Ｐ）広国交通事故調査</t>
  </si>
  <si>
    <t>林祐志</t>
  </si>
  <si>
    <t>H65202810</t>
    <phoneticPr fontId="1"/>
  </si>
  <si>
    <t>価）高崎床版取替交通運用</t>
    <rPh sb="0" eb="1">
      <t>アタイ</t>
    </rPh>
    <rPh sb="2" eb="4">
      <t>タカサキ</t>
    </rPh>
    <rPh sb="4" eb="6">
      <t>ショウバン</t>
    </rPh>
    <rPh sb="6" eb="8">
      <t>トリカエ</t>
    </rPh>
    <rPh sb="8" eb="10">
      <t>コウツウ</t>
    </rPh>
    <rPh sb="10" eb="12">
      <t>ウンヨウ</t>
    </rPh>
    <phoneticPr fontId="1"/>
  </si>
  <si>
    <t>Ｐ）Ｒ４東京国道事故対策</t>
    <rPh sb="4" eb="6">
      <t>トウキョウ</t>
    </rPh>
    <rPh sb="6" eb="8">
      <t>コクドウ</t>
    </rPh>
    <rPh sb="8" eb="10">
      <t>ジコ</t>
    </rPh>
    <rPh sb="10" eb="12">
      <t>タイサク</t>
    </rPh>
    <phoneticPr fontId="1"/>
  </si>
  <si>
    <t>H65200290</t>
    <phoneticPr fontId="1"/>
  </si>
  <si>
    <t>随）次世代車両対応資料</t>
    <phoneticPr fontId="1"/>
  </si>
  <si>
    <t>H6560077B</t>
    <phoneticPr fontId="1"/>
  </si>
  <si>
    <t>簡P)磐城管内事故対策検討</t>
    <rPh sb="0" eb="1">
      <t>カン</t>
    </rPh>
    <rPh sb="3" eb="5">
      <t>イワキ</t>
    </rPh>
    <rPh sb="5" eb="7">
      <t>カンナイ</t>
    </rPh>
    <rPh sb="7" eb="9">
      <t>ジコ</t>
    </rPh>
    <rPh sb="9" eb="11">
      <t>タイサク</t>
    </rPh>
    <rPh sb="11" eb="13">
      <t>ケントウ</t>
    </rPh>
    <phoneticPr fontId="1"/>
  </si>
  <si>
    <t>H6420416A</t>
    <phoneticPr fontId="1"/>
  </si>
  <si>
    <t>Ｐ）R3横浜国道事故対策</t>
    <phoneticPr fontId="1"/>
  </si>
  <si>
    <t>H65202000</t>
    <phoneticPr fontId="1"/>
  </si>
  <si>
    <t>Ｐ）交通危険分析</t>
    <phoneticPr fontId="1"/>
  </si>
  <si>
    <t>Ｐ）R4横浜国道事故対策</t>
    <phoneticPr fontId="1"/>
  </si>
  <si>
    <t>H6520259A</t>
    <phoneticPr fontId="1"/>
  </si>
  <si>
    <t>H6570031B</t>
    <phoneticPr fontId="1"/>
  </si>
  <si>
    <t>簡Ｐ）R4広国事故調査検討</t>
    <phoneticPr fontId="1"/>
  </si>
  <si>
    <t>H65205220</t>
    <phoneticPr fontId="1"/>
  </si>
  <si>
    <t>アクア照明効果分析</t>
    <phoneticPr fontId="1"/>
  </si>
  <si>
    <t>H65204850</t>
    <phoneticPr fontId="1"/>
  </si>
  <si>
    <t>随）外環三郷西ＩＣ渋滞</t>
    <rPh sb="0" eb="1">
      <t>ズイ</t>
    </rPh>
    <rPh sb="2" eb="4">
      <t>ガイカン</t>
    </rPh>
    <rPh sb="4" eb="6">
      <t>ミサト</t>
    </rPh>
    <rPh sb="6" eb="7">
      <t>ニシ</t>
    </rPh>
    <rPh sb="9" eb="11">
      <t>ジュウタイ</t>
    </rPh>
    <phoneticPr fontId="1"/>
  </si>
  <si>
    <t>H6620007B</t>
    <phoneticPr fontId="1"/>
  </si>
  <si>
    <t>R4アクア渋滞対策交通検討</t>
    <rPh sb="5" eb="7">
      <t>ジュウタイ</t>
    </rPh>
    <rPh sb="7" eb="9">
      <t>タイサク</t>
    </rPh>
    <rPh sb="9" eb="11">
      <t>コウツウ</t>
    </rPh>
    <rPh sb="11" eb="13">
      <t>ケントウ</t>
    </rPh>
    <phoneticPr fontId="1"/>
  </si>
  <si>
    <t>H6520304B</t>
    <phoneticPr fontId="1"/>
  </si>
  <si>
    <t>随）R4上瀬谷公園アセス</t>
    <rPh sb="0" eb="1">
      <t>ズイ</t>
    </rPh>
    <rPh sb="4" eb="7">
      <t>カミセヤ</t>
    </rPh>
    <rPh sb="7" eb="9">
      <t>コウエン</t>
    </rPh>
    <phoneticPr fontId="1"/>
  </si>
  <si>
    <t>H65202900</t>
    <phoneticPr fontId="1"/>
  </si>
  <si>
    <t>随）R4NEE自動運転</t>
    <rPh sb="0" eb="1">
      <t>ズイ</t>
    </rPh>
    <rPh sb="7" eb="9">
      <t>ジドウ</t>
    </rPh>
    <rPh sb="9" eb="11">
      <t>ウンテン</t>
    </rPh>
    <phoneticPr fontId="1"/>
  </si>
  <si>
    <t>H6520234B</t>
    <phoneticPr fontId="1"/>
  </si>
  <si>
    <t>随）R4旧深谷準備書作成</t>
    <rPh sb="0" eb="1">
      <t>ズイ</t>
    </rPh>
    <rPh sb="4" eb="5">
      <t>キュウ</t>
    </rPh>
    <rPh sb="5" eb="7">
      <t>フカヤ</t>
    </rPh>
    <rPh sb="7" eb="9">
      <t>ジュンビ</t>
    </rPh>
    <rPh sb="9" eb="10">
      <t>ショ</t>
    </rPh>
    <rPh sb="10" eb="12">
      <t>サクセイ</t>
    </rPh>
    <phoneticPr fontId="1"/>
  </si>
  <si>
    <t>H65204610</t>
    <phoneticPr fontId="1"/>
  </si>
  <si>
    <t>休憩施設利用動向調査業務</t>
    <phoneticPr fontId="1"/>
  </si>
  <si>
    <t>スポーツの日</t>
    <rPh sb="5" eb="6">
      <t>ヒ</t>
    </rPh>
    <phoneticPr fontId="1"/>
  </si>
  <si>
    <t>エンジ見積もりMT</t>
    <rPh sb="3" eb="5">
      <t>ミツ</t>
    </rPh>
    <phoneticPr fontId="1"/>
  </si>
  <si>
    <t>大坪裕哉</t>
    <rPh sb="0" eb="2">
      <t>オオツボ</t>
    </rPh>
    <rPh sb="2" eb="4">
      <t>ヒロヤ</t>
    </rPh>
    <phoneticPr fontId="1"/>
  </si>
  <si>
    <t>H6620235A</t>
    <phoneticPr fontId="1"/>
  </si>
  <si>
    <t>Ｐ）Ｒ５東京国道事故対策</t>
    <phoneticPr fontId="1"/>
  </si>
  <si>
    <t>H66202880</t>
    <phoneticPr fontId="1"/>
  </si>
  <si>
    <t>価）入間高架橋交通運用</t>
    <phoneticPr fontId="1"/>
  </si>
  <si>
    <t>H66203940</t>
    <phoneticPr fontId="1"/>
  </si>
  <si>
    <t>Ｐ）Ｒ５生活道路安全対策</t>
    <rPh sb="4" eb="6">
      <t>セイカツ</t>
    </rPh>
    <rPh sb="6" eb="8">
      <t>ドウロ</t>
    </rPh>
    <rPh sb="8" eb="10">
      <t>アンゼン</t>
    </rPh>
    <rPh sb="10" eb="12">
      <t>タイサク</t>
    </rPh>
    <phoneticPr fontId="1"/>
  </si>
  <si>
    <t>MT等</t>
    <rPh sb="2" eb="3">
      <t>トウ</t>
    </rPh>
    <phoneticPr fontId="1"/>
  </si>
  <si>
    <t>H66204160</t>
    <phoneticPr fontId="1"/>
  </si>
  <si>
    <t>価）上野原IC渋滞調査</t>
    <rPh sb="0" eb="1">
      <t>アタイ</t>
    </rPh>
    <rPh sb="2" eb="5">
      <t>ウエノハラ</t>
    </rPh>
    <rPh sb="7" eb="9">
      <t>ジュウタイ</t>
    </rPh>
    <rPh sb="9" eb="11">
      <t>チョウサ</t>
    </rPh>
    <phoneticPr fontId="1"/>
  </si>
  <si>
    <t>H66204050</t>
    <phoneticPr fontId="1"/>
  </si>
  <si>
    <t>随）休憩施設利用調査</t>
    <phoneticPr fontId="1"/>
  </si>
  <si>
    <t>元旦</t>
    <rPh sb="0" eb="2">
      <t>ガンタン</t>
    </rPh>
    <phoneticPr fontId="1"/>
  </si>
  <si>
    <t>H6650095A</t>
    <phoneticPr fontId="1"/>
  </si>
  <si>
    <t>簡P)R5沼津河国交通事故対</t>
    <rPh sb="0" eb="1">
      <t>カン</t>
    </rPh>
    <rPh sb="5" eb="7">
      <t>ヌマヅ</t>
    </rPh>
    <rPh sb="7" eb="8">
      <t>ガワ</t>
    </rPh>
    <rPh sb="8" eb="9">
      <t>コク</t>
    </rPh>
    <rPh sb="9" eb="11">
      <t>コウツウ</t>
    </rPh>
    <rPh sb="11" eb="13">
      <t>ジコ</t>
    </rPh>
    <rPh sb="13" eb="14">
      <t>タイ</t>
    </rPh>
    <phoneticPr fontId="1"/>
  </si>
  <si>
    <t>敬老の日</t>
    <rPh sb="0" eb="2">
      <t>ケイロウ</t>
    </rPh>
    <rPh sb="3" eb="4">
      <t>ヒ</t>
    </rPh>
    <phoneticPr fontId="1"/>
  </si>
  <si>
    <t>振替休日</t>
    <rPh sb="0" eb="4">
      <t>フリカエキュウジツ</t>
    </rPh>
    <phoneticPr fontId="1"/>
  </si>
  <si>
    <t>H67203230</t>
    <phoneticPr fontId="1"/>
  </si>
  <si>
    <t>随）東京外環工事車線運用</t>
    <rPh sb="0" eb="1">
      <t>ズイ</t>
    </rPh>
    <rPh sb="2" eb="4">
      <t>トウキョウ</t>
    </rPh>
    <rPh sb="4" eb="6">
      <t>ガイカン</t>
    </rPh>
    <rPh sb="6" eb="8">
      <t>コウジ</t>
    </rPh>
    <rPh sb="8" eb="10">
      <t>シャセン</t>
    </rPh>
    <rPh sb="10" eb="12">
      <t>ウンヨウ</t>
    </rPh>
    <phoneticPr fontId="1"/>
  </si>
  <si>
    <t>Ｐ）Ｒ6東京国道事故対策</t>
    <rPh sb="4" eb="6">
      <t>トウキョウ</t>
    </rPh>
    <rPh sb="6" eb="8">
      <t>コクドウ</t>
    </rPh>
    <rPh sb="8" eb="10">
      <t>ジコ</t>
    </rPh>
    <rPh sb="10" eb="12">
      <t>タイサク</t>
    </rPh>
    <phoneticPr fontId="1"/>
  </si>
  <si>
    <t>H6720360A</t>
    <phoneticPr fontId="1"/>
  </si>
  <si>
    <t>Ｐ）Ｒ６横国交通事故対策</t>
    <rPh sb="4" eb="6">
      <t>ヨココク</t>
    </rPh>
    <rPh sb="6" eb="8">
      <t>コウツウ</t>
    </rPh>
    <rPh sb="8" eb="10">
      <t>ジコ</t>
    </rPh>
    <rPh sb="10" eb="12">
      <t>タイサク</t>
    </rPh>
    <phoneticPr fontId="1"/>
  </si>
  <si>
    <t>H67201190</t>
    <phoneticPr fontId="1"/>
  </si>
  <si>
    <t>変Ｋ）上野原ＩＣ渋滞調査</t>
    <phoneticPr fontId="1"/>
  </si>
  <si>
    <t>アクアライン</t>
    <phoneticPr fontId="1"/>
  </si>
  <si>
    <t>K67205300</t>
    <phoneticPr fontId="1"/>
  </si>
  <si>
    <t>Ｋ価）入間高架橋交通運用</t>
    <phoneticPr fontId="1"/>
  </si>
  <si>
    <t>変Ｋ１）Ｒ５笠間道路詳細</t>
    <rPh sb="6" eb="8">
      <t>カサマ</t>
    </rPh>
    <rPh sb="8" eb="10">
      <t>ドウロ</t>
    </rPh>
    <rPh sb="10" eb="12">
      <t>ショウサイ</t>
    </rPh>
    <phoneticPr fontId="1"/>
  </si>
  <si>
    <t>H67200800</t>
    <phoneticPr fontId="1"/>
  </si>
  <si>
    <t>P）戦略的イノベスマート</t>
    <phoneticPr fontId="1"/>
  </si>
  <si>
    <t>H67202380</t>
    <phoneticPr fontId="1"/>
  </si>
  <si>
    <t>随）R6深谷環境アセス</t>
    <rPh sb="0" eb="1">
      <t>ズイ</t>
    </rPh>
    <rPh sb="4" eb="6">
      <t>フカヤ</t>
    </rPh>
    <rPh sb="6" eb="8">
      <t>カンキョウ</t>
    </rPh>
    <phoneticPr fontId="1"/>
  </si>
  <si>
    <t>H6720389A</t>
    <phoneticPr fontId="1"/>
  </si>
  <si>
    <t>K6720238B</t>
    <phoneticPr fontId="1"/>
  </si>
  <si>
    <t>秋分の日</t>
    <rPh sb="0" eb="2">
      <t>シュウブン</t>
    </rPh>
    <rPh sb="3" eb="4">
      <t>ヒ</t>
    </rPh>
    <phoneticPr fontId="1"/>
  </si>
  <si>
    <t>本社講習･研修･試験</t>
  </si>
  <si>
    <t>H6720360E</t>
    <phoneticPr fontId="1"/>
  </si>
  <si>
    <t>米沢→東京</t>
    <rPh sb="0" eb="2">
      <t>ヨネザワ</t>
    </rPh>
    <rPh sb="3" eb="5">
      <t>トウキョウ</t>
    </rPh>
    <phoneticPr fontId="1"/>
  </si>
  <si>
    <t>東京→西新宿五丁目</t>
    <rPh sb="0" eb="2">
      <t>トウキョウ</t>
    </rPh>
    <rPh sb="3" eb="9">
      <t>ニシシンジュクゴチョウメ</t>
    </rPh>
    <phoneticPr fontId="1"/>
  </si>
  <si>
    <t>東京→米沢</t>
    <rPh sb="0" eb="2">
      <t>トウキョウ</t>
    </rPh>
    <rPh sb="3" eb="5">
      <t>ヨネザワ</t>
    </rPh>
    <phoneticPr fontId="1"/>
  </si>
  <si>
    <t>宿泊費</t>
    <rPh sb="0" eb="3">
      <t>シュクハクヒ</t>
    </rPh>
    <phoneticPr fontId="1"/>
  </si>
  <si>
    <t>新宿→東京</t>
    <rPh sb="0" eb="2">
      <t>シンジュク</t>
    </rPh>
    <rPh sb="3" eb="5">
      <t>トウキョウ</t>
    </rPh>
    <phoneticPr fontId="1"/>
  </si>
  <si>
    <t>Ｐ）R7東京国道事故対策</t>
    <phoneticPr fontId="1"/>
  </si>
  <si>
    <t>H67205660</t>
    <phoneticPr fontId="1"/>
  </si>
  <si>
    <t>1000F1012</t>
    <phoneticPr fontId="1"/>
  </si>
  <si>
    <t>総）Ｒ６幸ケ谷歩道橋修正</t>
    <phoneticPr fontId="1"/>
  </si>
  <si>
    <t>H6820171C</t>
    <phoneticPr fontId="1"/>
  </si>
  <si>
    <t>H6820235A</t>
    <phoneticPr fontId="1"/>
  </si>
  <si>
    <t>H6720389D</t>
    <phoneticPr fontId="1"/>
  </si>
  <si>
    <t>H68202660</t>
    <phoneticPr fontId="1"/>
  </si>
  <si>
    <t>価）殿台床板取替交通運用</t>
    <rPh sb="0" eb="1">
      <t>アタイ</t>
    </rPh>
    <rPh sb="2" eb="3">
      <t>トノ</t>
    </rPh>
    <rPh sb="3" eb="4">
      <t>ダイ</t>
    </rPh>
    <rPh sb="4" eb="6">
      <t>ショウバン</t>
    </rPh>
    <rPh sb="6" eb="8">
      <t>トリカエ</t>
    </rPh>
    <rPh sb="8" eb="10">
      <t>コウツウ</t>
    </rPh>
    <rPh sb="10" eb="12">
      <t>ウンヨウ</t>
    </rPh>
    <phoneticPr fontId="1"/>
  </si>
  <si>
    <t>渡部数樹</t>
    <phoneticPr fontId="1"/>
  </si>
  <si>
    <t>Ｐ）Ｒ７横国交通事故対</t>
    <phoneticPr fontId="1"/>
  </si>
  <si>
    <t>H6820337A</t>
    <phoneticPr fontId="1"/>
  </si>
  <si>
    <t>本社e-Learning</t>
    <phoneticPr fontId="1"/>
  </si>
  <si>
    <t>H6720329B</t>
    <phoneticPr fontId="1"/>
  </si>
  <si>
    <t>K）京葉道花輪IC渋滞対策</t>
    <phoneticPr fontId="1"/>
  </si>
  <si>
    <t>柏祐樹</t>
    <phoneticPr fontId="1"/>
  </si>
  <si>
    <t>H68202050</t>
    <phoneticPr fontId="1"/>
  </si>
  <si>
    <t>随）R7旧深谷アセス</t>
    <rPh sb="0" eb="1">
      <t>ズイ</t>
    </rPh>
    <rPh sb="4" eb="5">
      <t>キュウ</t>
    </rPh>
    <rPh sb="5" eb="7">
      <t>フカヤ</t>
    </rPh>
    <phoneticPr fontId="1"/>
  </si>
  <si>
    <t>日暮里→新宿</t>
    <rPh sb="0" eb="3">
      <t>ニッポリ</t>
    </rPh>
    <rPh sb="4" eb="6">
      <t>シンジュク</t>
    </rPh>
    <phoneticPr fontId="1"/>
  </si>
  <si>
    <t>R7新橋（輪島）</t>
    <rPh sb="2" eb="4">
      <t>シンバシ</t>
    </rPh>
    <rPh sb="5" eb="7">
      <t>ワジマ</t>
    </rPh>
    <phoneticPr fontId="1"/>
  </si>
  <si>
    <t>領収書㉔</t>
    <rPh sb="0" eb="3">
      <t>リョウシュウショ</t>
    </rPh>
    <phoneticPr fontId="1"/>
  </si>
  <si>
    <t>12/16～12/19</t>
    <phoneticPr fontId="1"/>
  </si>
  <si>
    <t>H6820229D</t>
    <phoneticPr fontId="1"/>
  </si>
  <si>
    <t>西新宿五丁目→日暮里</t>
    <rPh sb="0" eb="6">
      <t>ニシシンジュクゴチョウメ</t>
    </rPh>
    <rPh sb="7" eb="10">
      <t>ニッポリ</t>
    </rPh>
    <phoneticPr fontId="1"/>
  </si>
  <si>
    <t>領収書㉖</t>
    <rPh sb="0" eb="3">
      <t>リョウシュウショ</t>
    </rPh>
    <phoneticPr fontId="1"/>
  </si>
  <si>
    <t>1/30～2/3</t>
    <phoneticPr fontId="1"/>
  </si>
  <si>
    <t>領収書㉗</t>
    <rPh sb="0" eb="3">
      <t>リョウシュウショ</t>
    </rPh>
    <phoneticPr fontId="1"/>
  </si>
  <si>
    <t>領収書㉘</t>
    <rPh sb="0" eb="3">
      <t>リョウシュウショ</t>
    </rPh>
    <phoneticPr fontId="1"/>
  </si>
  <si>
    <t>大手町→新宿三丁目</t>
    <rPh sb="0" eb="3">
      <t>オオテマチ</t>
    </rPh>
    <rPh sb="4" eb="9">
      <t>シンジュクサンチョウメ</t>
    </rPh>
    <phoneticPr fontId="1"/>
  </si>
  <si>
    <t>領収書㉙</t>
    <rPh sb="0" eb="3">
      <t>リョウシュウショ</t>
    </rPh>
    <phoneticPr fontId="1"/>
  </si>
  <si>
    <t>領収書㉚</t>
    <rPh sb="0" eb="3">
      <t>リョウシュウショ</t>
    </rPh>
    <phoneticPr fontId="1"/>
  </si>
  <si>
    <t>R7上瀬谷IC修正設計</t>
    <rPh sb="2" eb="5">
      <t>カミセヤ</t>
    </rPh>
    <rPh sb="7" eb="9">
      <t>シュウセイ</t>
    </rPh>
    <rPh sb="9" eb="11">
      <t>セッケイ</t>
    </rPh>
    <phoneticPr fontId="1"/>
  </si>
  <si>
    <t>領収書㉝</t>
    <rPh sb="0" eb="3">
      <t>リョウシュウショ</t>
    </rPh>
    <phoneticPr fontId="1"/>
  </si>
  <si>
    <t>3/10～3/11</t>
    <phoneticPr fontId="1"/>
  </si>
  <si>
    <t>国民の休日</t>
    <rPh sb="0" eb="2">
      <t>コクミン</t>
    </rPh>
    <rPh sb="3" eb="5">
      <t>キュウジツ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</si>
</sst>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0.00_ 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MS UI Gothic"/>
      <family val="3"/>
      <charset val="128"/>
    </font>
    <font>
      <sz val="10"/>
      <color indexed="8"/>
      <name val="MS UI Gothic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0000FF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0000FF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4"/>
      </right>
      <top/>
      <bottom style="thin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6" fillId="0" borderId="0">
      <protection locked="0"/>
    </xf>
  </cellStyleXfs>
  <cellXfs count="68">
    <xf numFmtId="0" fontId="0" fillId="0" borderId="0" xfId="0">
      <alignment vertical="center"/>
    </xf>
    <xf numFmtId="2" fontId="2" fillId="0" borderId="1" xfId="1" applyNumberFormat="1" applyBorder="1">
      <alignment vertical="center"/>
    </xf>
    <xf numFmtId="20" fontId="0" fillId="0" borderId="0" xfId="0" applyNumberFormat="1">
      <alignment vertical="center"/>
    </xf>
    <xf numFmtId="0" fontId="0" fillId="2" borderId="1" xfId="0" applyFill="1" applyBorder="1" applyAlignment="1"/>
    <xf numFmtId="0" fontId="4" fillId="2" borderId="1" xfId="0" applyFont="1" applyFill="1" applyBorder="1" applyAlignment="1"/>
    <xf numFmtId="0" fontId="6" fillId="4" borderId="2" xfId="0" applyFont="1" applyFill="1" applyBorder="1" applyAlignment="1"/>
    <xf numFmtId="0" fontId="7" fillId="3" borderId="1" xfId="0" applyFont="1" applyFill="1" applyBorder="1" applyAlignment="1"/>
    <xf numFmtId="0" fontId="6" fillId="3" borderId="2" xfId="0" applyFont="1" applyFill="1" applyBorder="1" applyAlignment="1"/>
    <xf numFmtId="0" fontId="6" fillId="5" borderId="1" xfId="3" applyFill="1" applyBorder="1" applyAlignment="1" applyProtection="1">
      <alignment vertical="center"/>
    </xf>
    <xf numFmtId="0" fontId="6" fillId="5" borderId="1" xfId="3" applyFill="1" applyBorder="1" applyAlignment="1" applyProtection="1">
      <alignment horizontal="left" vertical="center"/>
    </xf>
    <xf numFmtId="0" fontId="6" fillId="5" borderId="1" xfId="0" applyFont="1" applyFill="1" applyBorder="1" applyAlignment="1"/>
    <xf numFmtId="0" fontId="2" fillId="7" borderId="1" xfId="1" applyFill="1" applyBorder="1">
      <alignment vertical="center"/>
    </xf>
    <xf numFmtId="0" fontId="0" fillId="7" borderId="1" xfId="0" applyFill="1" applyBorder="1">
      <alignment vertical="center"/>
    </xf>
    <xf numFmtId="0" fontId="8" fillId="6" borderId="1" xfId="0" applyFont="1" applyFill="1" applyBorder="1" applyAlignment="1">
      <alignment vertical="center" wrapText="1"/>
    </xf>
    <xf numFmtId="0" fontId="2" fillId="6" borderId="1" xfId="1" applyFill="1" applyBorder="1" applyAlignment="1">
      <alignment vertical="center" wrapText="1"/>
    </xf>
    <xf numFmtId="0" fontId="2" fillId="7" borderId="1" xfId="1" applyFill="1" applyBorder="1" applyAlignment="1">
      <alignment horizontal="center" vertical="center" wrapText="1"/>
    </xf>
    <xf numFmtId="0" fontId="0" fillId="7" borderId="1" xfId="0" applyFill="1" applyBorder="1" applyProtection="1">
      <alignment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alignment vertical="center"/>
      <protection locked="0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4" xfId="0" applyBorder="1">
      <alignment vertical="center"/>
    </xf>
    <xf numFmtId="2" fontId="0" fillId="0" borderId="4" xfId="0" applyNumberFormat="1" applyBorder="1">
      <alignment vertical="center"/>
    </xf>
    <xf numFmtId="0" fontId="0" fillId="0" borderId="4" xfId="0" applyBorder="1" applyProtection="1">
      <alignment vertical="center"/>
      <protection locked="0"/>
    </xf>
    <xf numFmtId="176" fontId="0" fillId="0" borderId="3" xfId="0" applyNumberFormat="1" applyBorder="1" applyProtection="1">
      <alignment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Protection="1">
      <alignment vertical="center"/>
      <protection locked="0"/>
    </xf>
    <xf numFmtId="2" fontId="2" fillId="0" borderId="3" xfId="1" applyNumberFormat="1" applyBorder="1">
      <alignment vertical="center"/>
    </xf>
    <xf numFmtId="0" fontId="0" fillId="0" borderId="4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4" xfId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5" fillId="3" borderId="5" xfId="0" applyFont="1" applyFill="1" applyBorder="1" applyAlignment="1"/>
    <xf numFmtId="0" fontId="6" fillId="3" borderId="6" xfId="0" applyFont="1" applyFill="1" applyBorder="1" applyAlignment="1"/>
    <xf numFmtId="0" fontId="9" fillId="0" borderId="0" xfId="0" applyFont="1">
      <alignment vertical="center"/>
    </xf>
    <xf numFmtId="0" fontId="9" fillId="0" borderId="1" xfId="0" applyFont="1" applyBorder="1" applyProtection="1">
      <alignment vertical="center"/>
      <protection locked="0"/>
    </xf>
    <xf numFmtId="0" fontId="0" fillId="0" borderId="1" xfId="0" applyBorder="1" applyAlignment="1">
      <alignment vertical="center" shrinkToFit="1"/>
    </xf>
    <xf numFmtId="0" fontId="10" fillId="0" borderId="1" xfId="0" applyFont="1" applyBorder="1" applyProtection="1">
      <alignment vertical="center"/>
      <protection locked="0"/>
    </xf>
    <xf numFmtId="0" fontId="0" fillId="0" borderId="3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1" xfId="0" applyBorder="1" applyAlignment="1" applyProtection="1">
      <alignment vertical="center" shrinkToFit="1"/>
      <protection locked="0"/>
    </xf>
    <xf numFmtId="0" fontId="9" fillId="0" borderId="1" xfId="0" applyFont="1" applyBorder="1" applyAlignment="1" applyProtection="1">
      <alignment vertical="center" shrinkToFit="1"/>
      <protection locked="0"/>
    </xf>
    <xf numFmtId="0" fontId="9" fillId="0" borderId="3" xfId="0" applyFont="1" applyBorder="1" applyProtection="1">
      <alignment vertical="center"/>
      <protection locked="0"/>
    </xf>
    <xf numFmtId="0" fontId="11" fillId="0" borderId="1" xfId="0" applyFont="1" applyBorder="1" applyProtection="1">
      <alignment vertical="center"/>
      <protection locked="0"/>
    </xf>
    <xf numFmtId="0" fontId="10" fillId="0" borderId="1" xfId="0" applyFont="1" applyBorder="1" applyAlignment="1" applyProtection="1">
      <alignment vertical="center" shrinkToFit="1"/>
      <protection locked="0"/>
    </xf>
    <xf numFmtId="0" fontId="0" fillId="0" borderId="3" xfId="0" applyBorder="1" applyAlignment="1" applyProtection="1">
      <alignment vertical="center" shrinkToFit="1"/>
      <protection locked="0"/>
    </xf>
    <xf numFmtId="0" fontId="0" fillId="0" borderId="7" xfId="0" applyBorder="1">
      <alignment vertical="center"/>
    </xf>
    <xf numFmtId="0" fontId="10" fillId="0" borderId="3" xfId="0" applyFont="1" applyBorder="1" applyAlignment="1" applyProtection="1">
      <alignment vertical="center" shrinkToFit="1"/>
      <protection locked="0"/>
    </xf>
    <xf numFmtId="0" fontId="12" fillId="0" borderId="1" xfId="0" applyFont="1" applyBorder="1" applyAlignment="1" applyProtection="1">
      <alignment vertical="center" shrinkToFit="1"/>
      <protection locked="0"/>
    </xf>
    <xf numFmtId="0" fontId="11" fillId="0" borderId="0" xfId="0" applyFont="1">
      <alignment vertical="center"/>
    </xf>
    <xf numFmtId="176" fontId="0" fillId="0" borderId="1" xfId="0" applyNumberFormat="1" applyBorder="1" applyAlignment="1" applyProtection="1">
      <alignment horizontal="right" vertical="center"/>
      <protection locked="0"/>
    </xf>
    <xf numFmtId="176" fontId="13" fillId="0" borderId="1" xfId="0" applyNumberFormat="1" applyFont="1" applyBorder="1" applyProtection="1">
      <alignment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>
      <alignment vertical="center"/>
    </xf>
    <xf numFmtId="0" fontId="5" fillId="3" borderId="8" xfId="0" applyFont="1" applyFill="1" applyBorder="1" applyAlignment="1"/>
    <xf numFmtId="176" fontId="0" fillId="0" borderId="7" xfId="0" applyNumberFormat="1" applyBorder="1" applyAlignment="1" applyProtection="1">
      <alignment horizontal="right" vertical="center"/>
      <protection locked="0"/>
    </xf>
    <xf numFmtId="0" fontId="14" fillId="6" borderId="1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7" borderId="1" xfId="0" applyFont="1" applyFill="1" applyBorder="1" applyProtection="1">
      <alignment vertical="center"/>
      <protection locked="0"/>
    </xf>
    <xf numFmtId="0" fontId="11" fillId="7" borderId="1" xfId="0" applyFont="1" applyFill="1" applyBorder="1" applyProtection="1">
      <alignment vertical="center"/>
      <protection locked="0"/>
    </xf>
    <xf numFmtId="176" fontId="0" fillId="0" borderId="3" xfId="0" applyNumberFormat="1" applyBorder="1" applyAlignment="1" applyProtection="1">
      <alignment horizontal="right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件番No." xfId="3" xr:uid="{00000000-0005-0000-0000-000003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113"/>
  <sheetViews>
    <sheetView zoomScale="85" zoomScaleNormal="85" workbookViewId="0">
      <selection activeCell="D60" sqref="D60"/>
    </sheetView>
  </sheetViews>
  <sheetFormatPr defaultRowHeight="13.2" x14ac:dyDescent="0.2"/>
  <cols>
    <col min="2" max="2" width="8.77734375" bestFit="1" customWidth="1"/>
    <col min="3" max="3" width="23.21875" bestFit="1" customWidth="1"/>
    <col min="4" max="4" width="17.109375" bestFit="1" customWidth="1"/>
  </cols>
  <sheetData>
    <row r="2" spans="1:4" ht="14.4" x14ac:dyDescent="0.2">
      <c r="A2" s="3" t="s">
        <v>1</v>
      </c>
      <c r="B2" s="4" t="s">
        <v>2</v>
      </c>
      <c r="C2" s="4" t="s">
        <v>3</v>
      </c>
      <c r="D2" s="4" t="s">
        <v>4</v>
      </c>
    </row>
    <row r="3" spans="1:4" x14ac:dyDescent="0.15">
      <c r="A3" s="36">
        <v>0</v>
      </c>
      <c r="B3" s="10" t="s">
        <v>11</v>
      </c>
      <c r="C3" s="10" t="s">
        <v>10</v>
      </c>
      <c r="D3" s="10"/>
    </row>
    <row r="4" spans="1:4" x14ac:dyDescent="0.15">
      <c r="A4" s="6"/>
      <c r="B4" s="9" t="s">
        <v>12</v>
      </c>
      <c r="C4" s="8" t="s">
        <v>13</v>
      </c>
      <c r="D4" s="9"/>
    </row>
    <row r="5" spans="1:4" x14ac:dyDescent="0.15">
      <c r="A5" s="36"/>
      <c r="B5" s="10" t="s">
        <v>15</v>
      </c>
      <c r="C5" s="10" t="s">
        <v>14</v>
      </c>
      <c r="D5" s="10"/>
    </row>
    <row r="6" spans="1:4" x14ac:dyDescent="0.15">
      <c r="A6" s="58">
        <v>97</v>
      </c>
      <c r="B6" s="10"/>
      <c r="C6" s="10" t="s">
        <v>100</v>
      </c>
      <c r="D6" s="10"/>
    </row>
    <row r="7" spans="1:4" x14ac:dyDescent="0.15">
      <c r="A7" s="6">
        <v>99</v>
      </c>
      <c r="B7" s="9" t="s">
        <v>33</v>
      </c>
      <c r="C7" s="8" t="s">
        <v>34</v>
      </c>
      <c r="D7" s="10"/>
    </row>
    <row r="8" spans="1:4" x14ac:dyDescent="0.15">
      <c r="A8" s="36">
        <v>98</v>
      </c>
      <c r="B8" s="9" t="s">
        <v>38</v>
      </c>
      <c r="C8" s="8" t="s">
        <v>39</v>
      </c>
      <c r="D8" s="9"/>
    </row>
    <row r="9" spans="1:4" x14ac:dyDescent="0.15">
      <c r="A9" s="36">
        <v>96</v>
      </c>
      <c r="B9" s="9" t="s">
        <v>137</v>
      </c>
      <c r="C9" s="8" t="s">
        <v>147</v>
      </c>
      <c r="D9" s="9" t="s">
        <v>128</v>
      </c>
    </row>
    <row r="10" spans="1:4" x14ac:dyDescent="0.15">
      <c r="A10" s="36">
        <v>1</v>
      </c>
      <c r="B10" s="7" t="s">
        <v>43</v>
      </c>
      <c r="C10" s="7" t="s">
        <v>44</v>
      </c>
      <c r="D10" s="37" t="s">
        <v>41</v>
      </c>
    </row>
    <row r="11" spans="1:4" x14ac:dyDescent="0.15">
      <c r="A11" s="6">
        <v>2</v>
      </c>
      <c r="B11" s="5" t="s">
        <v>50</v>
      </c>
      <c r="C11" s="5" t="s">
        <v>42</v>
      </c>
      <c r="D11" s="37" t="s">
        <v>41</v>
      </c>
    </row>
    <row r="12" spans="1:4" x14ac:dyDescent="0.15">
      <c r="A12" s="36">
        <v>3</v>
      </c>
      <c r="B12" s="5" t="s">
        <v>47</v>
      </c>
      <c r="C12" s="5" t="s">
        <v>48</v>
      </c>
      <c r="D12" s="37" t="s">
        <v>41</v>
      </c>
    </row>
    <row r="13" spans="1:4" x14ac:dyDescent="0.15">
      <c r="A13" s="6">
        <v>4</v>
      </c>
      <c r="B13" s="5" t="s">
        <v>54</v>
      </c>
      <c r="C13" s="5" t="s">
        <v>53</v>
      </c>
      <c r="D13" s="37" t="s">
        <v>41</v>
      </c>
    </row>
    <row r="14" spans="1:4" x14ac:dyDescent="0.15">
      <c r="A14" s="36">
        <v>5</v>
      </c>
      <c r="B14" s="5" t="s">
        <v>49</v>
      </c>
      <c r="C14" s="7" t="s">
        <v>45</v>
      </c>
      <c r="D14" s="37" t="s">
        <v>46</v>
      </c>
    </row>
    <row r="15" spans="1:4" x14ac:dyDescent="0.15">
      <c r="A15" s="6">
        <v>6</v>
      </c>
      <c r="B15" s="5" t="s">
        <v>55</v>
      </c>
      <c r="C15" s="5" t="s">
        <v>56</v>
      </c>
      <c r="D15" s="37" t="s">
        <v>52</v>
      </c>
    </row>
    <row r="16" spans="1:4" x14ac:dyDescent="0.15">
      <c r="A16" s="36">
        <v>7</v>
      </c>
      <c r="B16" s="5" t="s">
        <v>57</v>
      </c>
      <c r="C16" s="7" t="s">
        <v>58</v>
      </c>
      <c r="D16" s="37" t="s">
        <v>41</v>
      </c>
    </row>
    <row r="17" spans="1:4" x14ac:dyDescent="0.15">
      <c r="A17" s="6">
        <v>8</v>
      </c>
      <c r="B17" s="5" t="s">
        <v>59</v>
      </c>
      <c r="C17" s="7" t="s">
        <v>60</v>
      </c>
      <c r="D17" s="37" t="s">
        <v>61</v>
      </c>
    </row>
    <row r="18" spans="1:4" x14ac:dyDescent="0.15">
      <c r="A18" s="36">
        <v>9</v>
      </c>
      <c r="B18" s="5" t="s">
        <v>74</v>
      </c>
      <c r="C18" s="7" t="s">
        <v>64</v>
      </c>
      <c r="D18" s="37" t="s">
        <v>40</v>
      </c>
    </row>
    <row r="19" spans="1:4" x14ac:dyDescent="0.15">
      <c r="A19" s="6">
        <v>10</v>
      </c>
      <c r="B19" s="5" t="s">
        <v>69</v>
      </c>
      <c r="C19" s="7" t="s">
        <v>70</v>
      </c>
      <c r="D19" s="37" t="s">
        <v>40</v>
      </c>
    </row>
    <row r="20" spans="1:4" x14ac:dyDescent="0.15">
      <c r="A20" s="36">
        <v>11</v>
      </c>
      <c r="B20" s="7" t="s">
        <v>75</v>
      </c>
      <c r="C20" s="7" t="s">
        <v>76</v>
      </c>
      <c r="D20" s="37" t="s">
        <v>61</v>
      </c>
    </row>
    <row r="21" spans="1:4" x14ac:dyDescent="0.15">
      <c r="A21" s="6">
        <v>12</v>
      </c>
      <c r="B21" s="7" t="s">
        <v>62</v>
      </c>
      <c r="C21" s="7" t="s">
        <v>63</v>
      </c>
      <c r="D21" s="37" t="s">
        <v>41</v>
      </c>
    </row>
    <row r="22" spans="1:4" x14ac:dyDescent="0.15">
      <c r="A22" s="36">
        <v>13</v>
      </c>
      <c r="B22" s="7" t="s">
        <v>67</v>
      </c>
      <c r="C22" s="7" t="s">
        <v>68</v>
      </c>
      <c r="D22" s="37" t="s">
        <v>40</v>
      </c>
    </row>
    <row r="23" spans="1:4" x14ac:dyDescent="0.15">
      <c r="A23" s="6">
        <v>14</v>
      </c>
      <c r="B23" s="7" t="s">
        <v>65</v>
      </c>
      <c r="C23" s="7" t="s">
        <v>66</v>
      </c>
      <c r="D23" s="37" t="s">
        <v>52</v>
      </c>
    </row>
    <row r="24" spans="1:4" x14ac:dyDescent="0.15">
      <c r="A24" s="36">
        <v>15</v>
      </c>
      <c r="B24" s="7" t="s">
        <v>71</v>
      </c>
      <c r="C24" s="7" t="s">
        <v>72</v>
      </c>
      <c r="D24" s="37" t="s">
        <v>52</v>
      </c>
    </row>
    <row r="25" spans="1:4" x14ac:dyDescent="0.15">
      <c r="A25" s="6">
        <v>16</v>
      </c>
      <c r="B25" s="7"/>
      <c r="C25" s="7" t="s">
        <v>73</v>
      </c>
      <c r="D25" s="37" t="s">
        <v>40</v>
      </c>
    </row>
    <row r="26" spans="1:4" x14ac:dyDescent="0.15">
      <c r="A26" s="36">
        <v>17</v>
      </c>
      <c r="B26" s="7" t="s">
        <v>83</v>
      </c>
      <c r="C26" s="7" t="s">
        <v>84</v>
      </c>
      <c r="D26" s="37" t="s">
        <v>40</v>
      </c>
    </row>
    <row r="27" spans="1:4" x14ac:dyDescent="0.15">
      <c r="A27" s="6">
        <v>18</v>
      </c>
      <c r="B27" s="7" t="s">
        <v>87</v>
      </c>
      <c r="C27" s="7" t="s">
        <v>88</v>
      </c>
      <c r="D27" s="37" t="s">
        <v>40</v>
      </c>
    </row>
    <row r="28" spans="1:4" x14ac:dyDescent="0.15">
      <c r="A28" s="36">
        <v>19</v>
      </c>
      <c r="B28" s="7" t="s">
        <v>79</v>
      </c>
      <c r="C28" s="7" t="s">
        <v>80</v>
      </c>
      <c r="D28" s="37" t="s">
        <v>93</v>
      </c>
    </row>
    <row r="29" spans="1:4" x14ac:dyDescent="0.15">
      <c r="A29" s="6">
        <v>20</v>
      </c>
      <c r="B29" s="7"/>
      <c r="C29" s="7"/>
      <c r="D29" s="37"/>
    </row>
    <row r="30" spans="1:4" x14ac:dyDescent="0.15">
      <c r="A30" s="36">
        <v>21</v>
      </c>
      <c r="B30" s="7" t="s">
        <v>77</v>
      </c>
      <c r="C30" s="7" t="s">
        <v>78</v>
      </c>
      <c r="D30" s="37" t="s">
        <v>40</v>
      </c>
    </row>
    <row r="31" spans="1:4" x14ac:dyDescent="0.15">
      <c r="A31" s="6">
        <v>22</v>
      </c>
      <c r="B31" s="7" t="s">
        <v>81</v>
      </c>
      <c r="C31" s="7" t="s">
        <v>82</v>
      </c>
      <c r="D31" s="37" t="s">
        <v>93</v>
      </c>
    </row>
    <row r="32" spans="1:4" x14ac:dyDescent="0.15">
      <c r="A32" s="36">
        <v>23</v>
      </c>
      <c r="B32" s="7" t="s">
        <v>85</v>
      </c>
      <c r="C32" s="7" t="s">
        <v>86</v>
      </c>
      <c r="D32" s="37" t="s">
        <v>52</v>
      </c>
    </row>
    <row r="33" spans="1:4" x14ac:dyDescent="0.15">
      <c r="A33" s="6">
        <v>24</v>
      </c>
      <c r="B33" s="7" t="s">
        <v>89</v>
      </c>
      <c r="C33" s="7" t="s">
        <v>90</v>
      </c>
      <c r="D33" s="37" t="s">
        <v>40</v>
      </c>
    </row>
    <row r="34" spans="1:4" x14ac:dyDescent="0.15">
      <c r="A34" s="36">
        <v>25</v>
      </c>
      <c r="B34" s="7"/>
      <c r="C34" s="7" t="s">
        <v>92</v>
      </c>
      <c r="D34" s="37" t="s">
        <v>93</v>
      </c>
    </row>
    <row r="35" spans="1:4" x14ac:dyDescent="0.15">
      <c r="A35" s="6">
        <v>26</v>
      </c>
      <c r="B35" s="7" t="s">
        <v>94</v>
      </c>
      <c r="C35" s="7" t="s">
        <v>95</v>
      </c>
      <c r="D35" s="37" t="s">
        <v>40</v>
      </c>
    </row>
    <row r="36" spans="1:4" x14ac:dyDescent="0.15">
      <c r="A36" s="36">
        <v>27</v>
      </c>
      <c r="B36" s="5" t="s">
        <v>96</v>
      </c>
      <c r="C36" s="7" t="s">
        <v>97</v>
      </c>
      <c r="D36" s="37" t="s">
        <v>93</v>
      </c>
    </row>
    <row r="37" spans="1:4" x14ac:dyDescent="0.15">
      <c r="A37" s="6">
        <v>28</v>
      </c>
      <c r="B37" s="7" t="s">
        <v>98</v>
      </c>
      <c r="C37" s="7" t="s">
        <v>99</v>
      </c>
      <c r="D37" s="37" t="s">
        <v>40</v>
      </c>
    </row>
    <row r="38" spans="1:4" x14ac:dyDescent="0.15">
      <c r="A38" s="36">
        <v>29</v>
      </c>
      <c r="B38" s="7" t="s">
        <v>103</v>
      </c>
      <c r="C38" s="7" t="s">
        <v>104</v>
      </c>
      <c r="D38" s="37" t="s">
        <v>40</v>
      </c>
    </row>
    <row r="39" spans="1:4" x14ac:dyDescent="0.15">
      <c r="A39" s="6">
        <v>30</v>
      </c>
      <c r="B39" s="7" t="s">
        <v>101</v>
      </c>
      <c r="C39" s="7" t="s">
        <v>102</v>
      </c>
      <c r="D39" s="37" t="s">
        <v>93</v>
      </c>
    </row>
    <row r="40" spans="1:4" x14ac:dyDescent="0.15">
      <c r="A40" s="36">
        <v>31</v>
      </c>
      <c r="B40" s="7" t="s">
        <v>106</v>
      </c>
      <c r="C40" s="7" t="s">
        <v>107</v>
      </c>
      <c r="D40" s="37" t="s">
        <v>93</v>
      </c>
    </row>
    <row r="41" spans="1:4" x14ac:dyDescent="0.15">
      <c r="A41" s="6">
        <v>32</v>
      </c>
      <c r="B41" s="7" t="s">
        <v>110</v>
      </c>
      <c r="C41" s="7" t="s">
        <v>111</v>
      </c>
      <c r="D41" s="37" t="s">
        <v>93</v>
      </c>
    </row>
    <row r="42" spans="1:4" x14ac:dyDescent="0.15">
      <c r="A42" s="36">
        <v>33</v>
      </c>
      <c r="B42" s="7" t="s">
        <v>148</v>
      </c>
      <c r="C42" s="7" t="s">
        <v>149</v>
      </c>
      <c r="D42" s="37" t="s">
        <v>150</v>
      </c>
    </row>
    <row r="43" spans="1:4" x14ac:dyDescent="0.15">
      <c r="A43" s="6">
        <v>34</v>
      </c>
      <c r="B43" s="7" t="s">
        <v>113</v>
      </c>
      <c r="C43" s="7" t="s">
        <v>112</v>
      </c>
      <c r="D43" s="37" t="s">
        <v>40</v>
      </c>
    </row>
    <row r="44" spans="1:4" x14ac:dyDescent="0.15">
      <c r="A44" s="36">
        <v>35</v>
      </c>
      <c r="B44" s="7" t="s">
        <v>125</v>
      </c>
      <c r="C44" s="7" t="s">
        <v>114</v>
      </c>
      <c r="D44" s="37" t="s">
        <v>40</v>
      </c>
    </row>
    <row r="45" spans="1:4" x14ac:dyDescent="0.15">
      <c r="A45" s="6">
        <v>36</v>
      </c>
      <c r="B45" s="5" t="s">
        <v>115</v>
      </c>
      <c r="C45" s="7" t="s">
        <v>116</v>
      </c>
      <c r="D45" s="37" t="s">
        <v>93</v>
      </c>
    </row>
    <row r="46" spans="1:4" x14ac:dyDescent="0.15">
      <c r="A46" s="6">
        <v>37</v>
      </c>
      <c r="B46" s="5"/>
      <c r="C46" s="7" t="s">
        <v>117</v>
      </c>
      <c r="D46" s="37" t="s">
        <v>93</v>
      </c>
    </row>
    <row r="47" spans="1:4" x14ac:dyDescent="0.15">
      <c r="A47" s="6">
        <v>38</v>
      </c>
      <c r="B47" s="5" t="s">
        <v>123</v>
      </c>
      <c r="C47" s="7" t="s">
        <v>124</v>
      </c>
      <c r="D47" s="37" t="s">
        <v>93</v>
      </c>
    </row>
    <row r="48" spans="1:4" x14ac:dyDescent="0.15">
      <c r="A48" s="6">
        <v>39</v>
      </c>
      <c r="B48" s="5" t="s">
        <v>136</v>
      </c>
      <c r="C48" s="5" t="s">
        <v>120</v>
      </c>
      <c r="D48" s="37" t="s">
        <v>93</v>
      </c>
    </row>
    <row r="49" spans="1:4" x14ac:dyDescent="0.15">
      <c r="A49" s="6">
        <v>40</v>
      </c>
      <c r="B49" s="5" t="s">
        <v>118</v>
      </c>
      <c r="C49" s="5" t="s">
        <v>119</v>
      </c>
      <c r="D49" s="37" t="s">
        <v>93</v>
      </c>
    </row>
    <row r="50" spans="1:4" x14ac:dyDescent="0.15">
      <c r="A50" s="6">
        <v>41</v>
      </c>
      <c r="B50" s="5" t="s">
        <v>121</v>
      </c>
      <c r="C50" s="5" t="s">
        <v>122</v>
      </c>
      <c r="D50" s="37" t="s">
        <v>144</v>
      </c>
    </row>
    <row r="51" spans="1:4" x14ac:dyDescent="0.15">
      <c r="A51" s="6">
        <v>42</v>
      </c>
      <c r="B51" s="5" t="s">
        <v>126</v>
      </c>
      <c r="C51" s="7" t="s">
        <v>124</v>
      </c>
      <c r="D51" s="37" t="s">
        <v>93</v>
      </c>
    </row>
    <row r="52" spans="1:4" x14ac:dyDescent="0.15">
      <c r="A52" s="36">
        <v>43</v>
      </c>
      <c r="B52" s="7" t="s">
        <v>129</v>
      </c>
      <c r="C52" s="7" t="s">
        <v>112</v>
      </c>
      <c r="D52" s="37" t="s">
        <v>40</v>
      </c>
    </row>
    <row r="53" spans="1:4" x14ac:dyDescent="0.15">
      <c r="A53" s="6">
        <v>44</v>
      </c>
      <c r="B53" s="7" t="s">
        <v>141</v>
      </c>
      <c r="C53" s="7" t="s">
        <v>114</v>
      </c>
      <c r="D53" s="37" t="s">
        <v>40</v>
      </c>
    </row>
    <row r="54" spans="1:4" x14ac:dyDescent="0.15">
      <c r="A54" s="36">
        <v>45</v>
      </c>
      <c r="B54" s="5" t="s">
        <v>140</v>
      </c>
      <c r="C54" s="7" t="s">
        <v>135</v>
      </c>
      <c r="D54" s="37" t="s">
        <v>40</v>
      </c>
    </row>
    <row r="55" spans="1:4" x14ac:dyDescent="0.15">
      <c r="A55" s="6">
        <v>46</v>
      </c>
      <c r="B55" s="5" t="s">
        <v>142</v>
      </c>
      <c r="C55" s="5" t="s">
        <v>143</v>
      </c>
      <c r="D55" s="37" t="s">
        <v>93</v>
      </c>
    </row>
    <row r="56" spans="1:4" x14ac:dyDescent="0.15">
      <c r="A56" s="36">
        <v>47</v>
      </c>
      <c r="B56" s="5" t="s">
        <v>139</v>
      </c>
      <c r="C56" s="5" t="s">
        <v>138</v>
      </c>
      <c r="D56" s="37" t="s">
        <v>93</v>
      </c>
    </row>
    <row r="57" spans="1:4" x14ac:dyDescent="0.15">
      <c r="A57" s="6">
        <v>48</v>
      </c>
      <c r="B57" s="5" t="s">
        <v>146</v>
      </c>
      <c r="C57" s="5" t="s">
        <v>145</v>
      </c>
      <c r="D57" s="37" t="s">
        <v>40</v>
      </c>
    </row>
    <row r="58" spans="1:4" x14ac:dyDescent="0.15">
      <c r="A58" s="6">
        <v>49</v>
      </c>
      <c r="B58" s="5" t="s">
        <v>151</v>
      </c>
      <c r="C58" s="5" t="s">
        <v>152</v>
      </c>
      <c r="D58" s="37" t="s">
        <v>93</v>
      </c>
    </row>
    <row r="59" spans="1:4" x14ac:dyDescent="0.15">
      <c r="A59" s="6">
        <v>50</v>
      </c>
      <c r="B59" s="5" t="s">
        <v>157</v>
      </c>
      <c r="C59" s="5" t="s">
        <v>166</v>
      </c>
      <c r="D59" s="37" t="s">
        <v>93</v>
      </c>
    </row>
    <row r="60" spans="1:4" x14ac:dyDescent="0.15">
      <c r="A60" s="6">
        <v>51</v>
      </c>
      <c r="B60" s="5"/>
      <c r="C60" s="5" t="s">
        <v>154</v>
      </c>
      <c r="D60" s="37"/>
    </row>
    <row r="61" spans="1:4" x14ac:dyDescent="0.15">
      <c r="A61" s="6">
        <v>52</v>
      </c>
      <c r="B61" s="5"/>
      <c r="C61" s="5"/>
      <c r="D61" s="37"/>
    </row>
    <row r="62" spans="1:4" x14ac:dyDescent="0.15">
      <c r="A62" s="6">
        <v>53</v>
      </c>
      <c r="B62" s="5"/>
      <c r="C62" s="5"/>
      <c r="D62" s="37"/>
    </row>
    <row r="63" spans="1:4" x14ac:dyDescent="0.15">
      <c r="A63" s="6">
        <v>54</v>
      </c>
      <c r="B63" s="5"/>
      <c r="C63" s="5"/>
      <c r="D63" s="37"/>
    </row>
    <row r="64" spans="1:4" x14ac:dyDescent="0.15">
      <c r="A64" s="36">
        <v>55</v>
      </c>
      <c r="B64" s="5"/>
      <c r="C64" s="5"/>
      <c r="D64" s="37"/>
    </row>
    <row r="65" spans="1:4" x14ac:dyDescent="0.15">
      <c r="A65" s="6">
        <v>56</v>
      </c>
      <c r="B65" s="5"/>
      <c r="C65" s="5"/>
      <c r="D65" s="37"/>
    </row>
    <row r="66" spans="1:4" x14ac:dyDescent="0.15">
      <c r="A66" s="6">
        <v>57</v>
      </c>
      <c r="B66" s="5"/>
      <c r="C66" s="5"/>
      <c r="D66" s="37"/>
    </row>
    <row r="67" spans="1:4" x14ac:dyDescent="0.15">
      <c r="A67" s="36">
        <v>58</v>
      </c>
      <c r="B67" s="5"/>
      <c r="C67" s="5"/>
      <c r="D67" s="37"/>
    </row>
    <row r="68" spans="1:4" x14ac:dyDescent="0.15">
      <c r="A68" s="6">
        <v>59</v>
      </c>
      <c r="B68" s="5"/>
      <c r="C68" s="5"/>
      <c r="D68" s="37"/>
    </row>
    <row r="69" spans="1:4" x14ac:dyDescent="0.15">
      <c r="A69" s="36">
        <v>60</v>
      </c>
      <c r="B69" s="5"/>
      <c r="C69" s="5"/>
      <c r="D69" s="37"/>
    </row>
    <row r="70" spans="1:4" x14ac:dyDescent="0.15">
      <c r="A70" s="6">
        <v>61</v>
      </c>
      <c r="B70" s="5"/>
      <c r="C70" s="5"/>
      <c r="D70" s="37"/>
    </row>
    <row r="71" spans="1:4" x14ac:dyDescent="0.15">
      <c r="A71" s="36">
        <v>62</v>
      </c>
      <c r="B71" s="5"/>
      <c r="C71" s="5"/>
      <c r="D71" s="37"/>
    </row>
    <row r="72" spans="1:4" x14ac:dyDescent="0.15">
      <c r="A72" s="6">
        <v>63</v>
      </c>
      <c r="B72" s="5"/>
      <c r="C72" s="5"/>
      <c r="D72" s="37"/>
    </row>
    <row r="73" spans="1:4" x14ac:dyDescent="0.15">
      <c r="A73" s="6">
        <v>64</v>
      </c>
      <c r="B73" s="5"/>
      <c r="C73" s="5"/>
      <c r="D73" s="37"/>
    </row>
    <row r="74" spans="1:4" x14ac:dyDescent="0.15">
      <c r="A74" s="6">
        <v>65</v>
      </c>
      <c r="B74" s="5"/>
      <c r="C74" s="5"/>
      <c r="D74" s="37"/>
    </row>
    <row r="75" spans="1:4" x14ac:dyDescent="0.15">
      <c r="A75" s="6">
        <v>66</v>
      </c>
      <c r="B75" s="5"/>
      <c r="C75" s="5"/>
      <c r="D75" s="37"/>
    </row>
    <row r="76" spans="1:4" x14ac:dyDescent="0.15">
      <c r="A76" s="6">
        <v>67</v>
      </c>
      <c r="B76" s="5"/>
      <c r="C76" s="5"/>
      <c r="D76" s="37"/>
    </row>
    <row r="77" spans="1:4" x14ac:dyDescent="0.15">
      <c r="A77" s="6">
        <v>68</v>
      </c>
      <c r="B77" s="5"/>
      <c r="C77" s="5"/>
      <c r="D77" s="37"/>
    </row>
    <row r="78" spans="1:4" x14ac:dyDescent="0.15">
      <c r="A78" s="6">
        <v>69</v>
      </c>
      <c r="B78" s="5"/>
      <c r="C78" s="5"/>
      <c r="D78" s="37"/>
    </row>
    <row r="79" spans="1:4" x14ac:dyDescent="0.15">
      <c r="A79" s="36">
        <v>70</v>
      </c>
      <c r="B79" s="5"/>
      <c r="C79" s="5"/>
      <c r="D79" s="37"/>
    </row>
    <row r="80" spans="1:4" x14ac:dyDescent="0.15">
      <c r="A80" s="6">
        <v>71</v>
      </c>
      <c r="B80" s="5"/>
      <c r="C80" s="5"/>
      <c r="D80" s="37"/>
    </row>
    <row r="81" spans="1:4" x14ac:dyDescent="0.15">
      <c r="A81" s="36">
        <v>72</v>
      </c>
      <c r="B81" s="5"/>
      <c r="C81" s="5"/>
      <c r="D81" s="37"/>
    </row>
    <row r="82" spans="1:4" x14ac:dyDescent="0.15">
      <c r="A82" s="6">
        <v>73</v>
      </c>
      <c r="B82" s="5"/>
      <c r="C82" s="5"/>
      <c r="D82" s="37"/>
    </row>
    <row r="83" spans="1:4" x14ac:dyDescent="0.15">
      <c r="A83" s="36">
        <v>74</v>
      </c>
      <c r="B83" s="5"/>
      <c r="C83" s="5"/>
      <c r="D83" s="37"/>
    </row>
    <row r="84" spans="1:4" x14ac:dyDescent="0.15">
      <c r="A84" s="6">
        <v>75</v>
      </c>
      <c r="B84" s="5"/>
      <c r="C84" s="5"/>
      <c r="D84" s="37"/>
    </row>
    <row r="85" spans="1:4" x14ac:dyDescent="0.15">
      <c r="A85" s="6">
        <v>76</v>
      </c>
      <c r="B85" s="5"/>
      <c r="C85" s="5"/>
      <c r="D85" s="37"/>
    </row>
    <row r="86" spans="1:4" x14ac:dyDescent="0.15">
      <c r="A86" s="6">
        <v>77</v>
      </c>
      <c r="B86" s="5"/>
      <c r="C86" s="5"/>
      <c r="D86" s="37"/>
    </row>
    <row r="87" spans="1:4" x14ac:dyDescent="0.15">
      <c r="A87" s="6">
        <v>78</v>
      </c>
      <c r="B87" s="5"/>
      <c r="C87" s="5"/>
      <c r="D87" s="37"/>
    </row>
    <row r="88" spans="1:4" x14ac:dyDescent="0.15">
      <c r="A88" s="6">
        <v>79</v>
      </c>
      <c r="B88" s="5"/>
      <c r="C88" s="5"/>
      <c r="D88" s="37"/>
    </row>
    <row r="89" spans="1:4" x14ac:dyDescent="0.15">
      <c r="A89" s="6">
        <v>80</v>
      </c>
      <c r="B89" s="5"/>
      <c r="C89" s="5"/>
      <c r="D89" s="37"/>
    </row>
    <row r="90" spans="1:4" x14ac:dyDescent="0.15">
      <c r="A90" s="6">
        <v>81</v>
      </c>
      <c r="B90" s="5"/>
      <c r="C90" s="5"/>
      <c r="D90" s="37"/>
    </row>
    <row r="91" spans="1:4" x14ac:dyDescent="0.15">
      <c r="A91" s="36">
        <v>82</v>
      </c>
      <c r="B91" s="5"/>
      <c r="C91" s="5"/>
      <c r="D91" s="37"/>
    </row>
    <row r="92" spans="1:4" x14ac:dyDescent="0.15">
      <c r="A92" s="6">
        <v>83</v>
      </c>
      <c r="B92" s="5"/>
      <c r="C92" s="5"/>
      <c r="D92" s="37"/>
    </row>
    <row r="93" spans="1:4" x14ac:dyDescent="0.15">
      <c r="A93" s="36">
        <v>84</v>
      </c>
      <c r="B93" s="5"/>
      <c r="C93" s="5"/>
      <c r="D93" s="37"/>
    </row>
    <row r="94" spans="1:4" x14ac:dyDescent="0.15">
      <c r="A94" s="6">
        <v>85</v>
      </c>
      <c r="B94" s="5"/>
      <c r="C94" s="5"/>
      <c r="D94" s="37"/>
    </row>
    <row r="95" spans="1:4" x14ac:dyDescent="0.15">
      <c r="A95" s="36">
        <v>86</v>
      </c>
      <c r="B95" s="5"/>
      <c r="C95" s="5"/>
      <c r="D95" s="37"/>
    </row>
    <row r="96" spans="1:4" x14ac:dyDescent="0.15">
      <c r="A96" s="6">
        <v>87</v>
      </c>
      <c r="B96" s="5"/>
      <c r="C96" s="5"/>
      <c r="D96" s="37"/>
    </row>
    <row r="97" spans="1:4" x14ac:dyDescent="0.15">
      <c r="A97" s="36">
        <v>88</v>
      </c>
      <c r="B97" s="5"/>
      <c r="C97" s="5"/>
      <c r="D97" s="37"/>
    </row>
    <row r="98" spans="1:4" x14ac:dyDescent="0.15">
      <c r="A98" s="6">
        <v>89</v>
      </c>
      <c r="B98" s="5"/>
      <c r="C98" s="5"/>
      <c r="D98" s="37"/>
    </row>
    <row r="99" spans="1:4" x14ac:dyDescent="0.15">
      <c r="A99" s="6">
        <v>90</v>
      </c>
      <c r="B99" s="5"/>
      <c r="C99" s="5"/>
      <c r="D99" s="37"/>
    </row>
    <row r="100" spans="1:4" x14ac:dyDescent="0.15">
      <c r="A100" s="6">
        <v>91</v>
      </c>
      <c r="B100" s="5"/>
      <c r="C100" s="5"/>
      <c r="D100" s="37"/>
    </row>
    <row r="101" spans="1:4" x14ac:dyDescent="0.15">
      <c r="A101" s="6">
        <v>92</v>
      </c>
      <c r="B101" s="5"/>
      <c r="C101" s="5"/>
      <c r="D101" s="37"/>
    </row>
    <row r="102" spans="1:4" x14ac:dyDescent="0.15">
      <c r="A102" s="6">
        <v>93</v>
      </c>
      <c r="B102" s="5"/>
      <c r="C102" s="5"/>
      <c r="D102" s="37"/>
    </row>
    <row r="103" spans="1:4" x14ac:dyDescent="0.15">
      <c r="A103" s="6">
        <v>94</v>
      </c>
      <c r="B103" s="5"/>
      <c r="C103" s="5"/>
      <c r="D103" s="37"/>
    </row>
    <row r="104" spans="1:4" x14ac:dyDescent="0.15">
      <c r="A104" s="6">
        <v>95</v>
      </c>
      <c r="B104" s="5"/>
      <c r="C104" s="5"/>
      <c r="D104" s="37"/>
    </row>
    <row r="105" spans="1:4" x14ac:dyDescent="0.15">
      <c r="A105" s="36">
        <v>96</v>
      </c>
      <c r="B105" s="5"/>
      <c r="C105" s="5"/>
      <c r="D105" s="37"/>
    </row>
    <row r="106" spans="1:4" x14ac:dyDescent="0.15">
      <c r="A106" s="6">
        <v>97</v>
      </c>
      <c r="B106" s="5"/>
      <c r="C106" s="5"/>
      <c r="D106" s="37"/>
    </row>
    <row r="107" spans="1:4" x14ac:dyDescent="0.15">
      <c r="A107" s="36">
        <v>98</v>
      </c>
      <c r="B107" s="5"/>
      <c r="C107" s="5"/>
      <c r="D107" s="37"/>
    </row>
    <row r="108" spans="1:4" x14ac:dyDescent="0.15">
      <c r="A108" s="6">
        <v>99</v>
      </c>
      <c r="B108" s="5"/>
      <c r="C108" s="5"/>
      <c r="D108" s="37"/>
    </row>
    <row r="109" spans="1:4" x14ac:dyDescent="0.15">
      <c r="A109" s="36">
        <v>100</v>
      </c>
      <c r="B109" s="5"/>
      <c r="C109" s="5"/>
      <c r="D109" s="37"/>
    </row>
    <row r="110" spans="1:4" x14ac:dyDescent="0.15">
      <c r="A110" s="6">
        <v>101</v>
      </c>
      <c r="B110" s="5"/>
      <c r="C110" s="5"/>
      <c r="D110" s="37"/>
    </row>
    <row r="111" spans="1:4" x14ac:dyDescent="0.15">
      <c r="A111" s="6">
        <v>102</v>
      </c>
      <c r="B111" s="5"/>
      <c r="C111" s="5"/>
      <c r="D111" s="37"/>
    </row>
    <row r="112" spans="1:4" x14ac:dyDescent="0.15">
      <c r="A112" s="6">
        <v>103</v>
      </c>
      <c r="B112" s="5"/>
      <c r="C112" s="5"/>
      <c r="D112" s="37"/>
    </row>
    <row r="113" spans="1:4" x14ac:dyDescent="0.15">
      <c r="A113" s="6">
        <v>104</v>
      </c>
      <c r="B113" s="5"/>
      <c r="C113" s="5"/>
      <c r="D113" s="37"/>
    </row>
  </sheetData>
  <autoFilter ref="A2:D58" xr:uid="{00000000-0009-0000-0000-000000000000}"/>
  <phoneticPr fontId="1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4E73-C22F-4C79-98C7-18520DFC43E2}">
  <dimension ref="B1:AC52"/>
  <sheetViews>
    <sheetView topLeftCell="B1" zoomScale="70" zoomScaleNormal="70" workbookViewId="0">
      <pane xSplit="2" ySplit="5" topLeftCell="D6" activePane="bottomRight" state="frozen"/>
      <selection activeCell="Y37" sqref="Y37"/>
      <selection pane="topRight" activeCell="Y37" sqref="Y37"/>
      <selection pane="bottomLeft" activeCell="Y37" sqref="Y37"/>
      <selection pane="bottomRight" activeCell="B1" sqref="B1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33"/>
      <c r="I1" s="61"/>
      <c r="K1" s="38"/>
      <c r="M1" s="38"/>
      <c r="N1" s="62"/>
    </row>
    <row r="2" spans="2:29" ht="39.6" x14ac:dyDescent="0.2">
      <c r="B2" s="15" t="s">
        <v>6</v>
      </c>
      <c r="C2" s="11"/>
      <c r="D2" s="16"/>
      <c r="E2" s="16"/>
      <c r="F2" s="16"/>
      <c r="G2" s="16"/>
      <c r="H2" s="16"/>
      <c r="I2" s="64"/>
      <c r="J2" s="16"/>
      <c r="K2" s="16"/>
      <c r="L2" s="16"/>
      <c r="M2" s="16"/>
      <c r="N2" s="64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13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/>
      <c r="Q3" s="13"/>
      <c r="R3" s="13"/>
      <c r="S3" s="13" t="str">
        <f>IF(ISERROR(VLOOKUP(S2,件番!$A$3:$D$113,2,FALSE)),"",(VLOOKUP(S2,件番!$A$3:$D$113,2,FALSE)))</f>
        <v>2032B1008</v>
      </c>
      <c r="T3" s="13"/>
      <c r="U3" s="13"/>
    </row>
    <row r="4" spans="2:29" ht="26.4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13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/>
      <c r="Q4" s="13"/>
      <c r="R4" s="13"/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13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/>
      <c r="Q5" s="13"/>
      <c r="R5" s="13"/>
      <c r="S5" s="13">
        <f>IF(ISERROR(VLOOKUP(S2,件番!$A$3:$D$113,2,FALSE)),"",(VLOOKUP(S2,件番!$A$3:$D$113,4,FALSE)))</f>
        <v>0</v>
      </c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46082</v>
      </c>
      <c r="C6" s="18" t="str">
        <f>TEXT(B6,"aaa")</f>
        <v>日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6" si="0">SUM(D6:S6)</f>
        <v>0</v>
      </c>
      <c r="U6" s="39"/>
      <c r="V6" s="2"/>
      <c r="W6" s="2"/>
      <c r="X6" s="2"/>
      <c r="Y6" s="20">
        <f t="shared" ref="Y6:Y36" si="1">(W6-V6-X6)*24</f>
        <v>0</v>
      </c>
      <c r="Z6" s="21">
        <f t="shared" ref="Z6:Z36" si="2">Y6-T6</f>
        <v>0</v>
      </c>
      <c r="AA6" s="21"/>
      <c r="AB6" s="20"/>
    </row>
    <row r="7" spans="2:29" x14ac:dyDescent="0.2">
      <c r="B7" s="17">
        <v>46083</v>
      </c>
      <c r="C7" s="18" t="str">
        <f t="shared" ref="C7:C36" si="3">TEXT(B7,"aaa")</f>
        <v>月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39"/>
      <c r="V7" s="2">
        <v>0.375</v>
      </c>
      <c r="W7" s="2">
        <v>0.72916666666666663</v>
      </c>
      <c r="X7" s="2">
        <v>5.2083333333333336E-2</v>
      </c>
      <c r="Y7" s="20">
        <f t="shared" ref="Y7" si="4">(W7-V7-X7)*24</f>
        <v>7.25</v>
      </c>
      <c r="Z7" s="21">
        <f t="shared" ref="Z7" si="5">Y7-T7</f>
        <v>7.25</v>
      </c>
      <c r="AA7" s="21">
        <f t="shared" ref="AA7" si="6">AC7-AB7</f>
        <v>0</v>
      </c>
      <c r="AB7" s="20">
        <v>7.25</v>
      </c>
      <c r="AC7">
        <f t="shared" ref="AC7" si="7">ABS(Y7)</f>
        <v>7.25</v>
      </c>
    </row>
    <row r="8" spans="2:29" x14ac:dyDescent="0.2">
      <c r="B8" s="17">
        <v>46084</v>
      </c>
      <c r="C8" s="18" t="str">
        <f t="shared" si="3"/>
        <v>火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39"/>
      <c r="V8" s="2">
        <v>0.375</v>
      </c>
      <c r="W8" s="2">
        <v>0.72916666666666663</v>
      </c>
      <c r="X8" s="2">
        <v>5.2083333333333336E-2</v>
      </c>
      <c r="Y8" s="20">
        <f t="shared" si="1"/>
        <v>7.25</v>
      </c>
      <c r="Z8" s="21">
        <f t="shared" si="2"/>
        <v>7.25</v>
      </c>
      <c r="AA8" s="21">
        <f t="shared" ref="AA6:AA36" si="8">AC8-AB8</f>
        <v>0</v>
      </c>
      <c r="AB8" s="20">
        <v>7.25</v>
      </c>
      <c r="AC8">
        <f t="shared" ref="AC6:AC36" si="9">ABS(Y8)</f>
        <v>7.25</v>
      </c>
    </row>
    <row r="9" spans="2:29" x14ac:dyDescent="0.2">
      <c r="B9" s="17">
        <v>46085</v>
      </c>
      <c r="C9" s="18" t="str">
        <f t="shared" si="3"/>
        <v>水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19"/>
      <c r="V9" s="2">
        <v>0.375</v>
      </c>
      <c r="W9" s="2">
        <v>0.72916666666666663</v>
      </c>
      <c r="X9" s="2">
        <v>5.2083333333333336E-2</v>
      </c>
      <c r="Y9" s="20">
        <f t="shared" si="1"/>
        <v>7.25</v>
      </c>
      <c r="Z9" s="21">
        <f t="shared" si="2"/>
        <v>7.25</v>
      </c>
      <c r="AA9" s="21">
        <f t="shared" si="8"/>
        <v>0</v>
      </c>
      <c r="AB9" s="20">
        <v>7.25</v>
      </c>
      <c r="AC9">
        <f t="shared" si="9"/>
        <v>7.25</v>
      </c>
    </row>
    <row r="10" spans="2:29" x14ac:dyDescent="0.2">
      <c r="B10" s="17">
        <v>46086</v>
      </c>
      <c r="C10" s="18" t="str">
        <f t="shared" si="3"/>
        <v>木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44"/>
      <c r="V10" s="2">
        <v>0.375</v>
      </c>
      <c r="W10" s="2">
        <v>0.72916666666666663</v>
      </c>
      <c r="X10" s="2">
        <v>5.2083333333333336E-2</v>
      </c>
      <c r="Y10" s="20">
        <f t="shared" si="1"/>
        <v>7.25</v>
      </c>
      <c r="Z10" s="21">
        <f t="shared" si="2"/>
        <v>7.25</v>
      </c>
      <c r="AA10" s="21">
        <f t="shared" si="8"/>
        <v>0</v>
      </c>
      <c r="AB10" s="20">
        <v>7.25</v>
      </c>
      <c r="AC10">
        <f t="shared" si="9"/>
        <v>7.25</v>
      </c>
    </row>
    <row r="11" spans="2:29" x14ac:dyDescent="0.2">
      <c r="B11" s="17">
        <v>46087</v>
      </c>
      <c r="C11" s="18" t="str">
        <f t="shared" si="3"/>
        <v>金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19"/>
      <c r="V11" s="2">
        <v>0.375</v>
      </c>
      <c r="W11" s="2">
        <v>0.72916666666666663</v>
      </c>
      <c r="X11" s="2">
        <v>5.2083333333333336E-2</v>
      </c>
      <c r="Y11" s="20">
        <f t="shared" si="1"/>
        <v>7.25</v>
      </c>
      <c r="Z11" s="21">
        <f t="shared" si="2"/>
        <v>7.25</v>
      </c>
      <c r="AA11" s="21">
        <f t="shared" si="8"/>
        <v>0</v>
      </c>
      <c r="AB11" s="20">
        <v>7.25</v>
      </c>
      <c r="AC11">
        <f t="shared" si="9"/>
        <v>7.25</v>
      </c>
    </row>
    <row r="12" spans="2:29" x14ac:dyDescent="0.2">
      <c r="B12" s="17">
        <v>46088</v>
      </c>
      <c r="C12" s="18" t="str">
        <f t="shared" si="3"/>
        <v>土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19"/>
      <c r="V12" s="2"/>
      <c r="W12" s="2"/>
      <c r="X12" s="2"/>
      <c r="Y12" s="20">
        <f t="shared" si="1"/>
        <v>0</v>
      </c>
      <c r="Z12" s="21">
        <f t="shared" si="2"/>
        <v>0</v>
      </c>
      <c r="AA12" s="21"/>
      <c r="AB12" s="20"/>
    </row>
    <row r="13" spans="2:29" x14ac:dyDescent="0.2">
      <c r="B13" s="17">
        <v>46089</v>
      </c>
      <c r="C13" s="18" t="str">
        <f t="shared" si="3"/>
        <v>日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19"/>
      <c r="V13" s="2"/>
      <c r="W13" s="2"/>
      <c r="X13" s="2"/>
      <c r="Y13" s="20">
        <f t="shared" ref="Y13:Y14" si="10">(W13-V13-X13)*24</f>
        <v>0</v>
      </c>
      <c r="Z13" s="21">
        <f t="shared" ref="Z13:Z14" si="11">Y13-T13</f>
        <v>0</v>
      </c>
      <c r="AA13" s="21"/>
      <c r="AB13" s="20"/>
    </row>
    <row r="14" spans="2:29" x14ac:dyDescent="0.2">
      <c r="B14" s="17">
        <v>46090</v>
      </c>
      <c r="C14" s="18" t="str">
        <f t="shared" si="3"/>
        <v>月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39"/>
      <c r="V14" s="2">
        <v>0.375</v>
      </c>
      <c r="W14" s="2">
        <v>0.72916666666666663</v>
      </c>
      <c r="X14" s="2">
        <v>5.2083333333333336E-2</v>
      </c>
      <c r="Y14" s="20">
        <f t="shared" si="10"/>
        <v>7.25</v>
      </c>
      <c r="Z14" s="21">
        <f t="shared" si="11"/>
        <v>7.25</v>
      </c>
      <c r="AA14" s="21">
        <f t="shared" ref="AA14" si="12">AC14-AB14</f>
        <v>0</v>
      </c>
      <c r="AB14" s="20">
        <v>7.25</v>
      </c>
      <c r="AC14">
        <f t="shared" ref="AC14" si="13">ABS(Y14)</f>
        <v>7.25</v>
      </c>
    </row>
    <row r="15" spans="2:29" x14ac:dyDescent="0.2">
      <c r="B15" s="17">
        <v>46091</v>
      </c>
      <c r="C15" s="18" t="str">
        <f t="shared" si="3"/>
        <v>火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19"/>
      <c r="V15" s="2">
        <v>0.375</v>
      </c>
      <c r="W15" s="2">
        <v>0.72916666666666663</v>
      </c>
      <c r="X15" s="2">
        <v>5.2083333333333336E-2</v>
      </c>
      <c r="Y15" s="20">
        <f t="shared" si="1"/>
        <v>7.25</v>
      </c>
      <c r="Z15" s="21">
        <f t="shared" si="2"/>
        <v>7.25</v>
      </c>
      <c r="AA15" s="21">
        <f t="shared" si="8"/>
        <v>0</v>
      </c>
      <c r="AB15" s="20">
        <v>7.25</v>
      </c>
      <c r="AC15">
        <f t="shared" si="9"/>
        <v>7.25</v>
      </c>
    </row>
    <row r="16" spans="2:29" x14ac:dyDescent="0.2">
      <c r="B16" s="17">
        <v>46092</v>
      </c>
      <c r="C16" s="18" t="str">
        <f t="shared" si="3"/>
        <v>水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19"/>
      <c r="V16" s="2">
        <v>0.375</v>
      </c>
      <c r="W16" s="2">
        <v>0.72916666666666663</v>
      </c>
      <c r="X16" s="2">
        <v>5.2083333333333336E-2</v>
      </c>
      <c r="Y16" s="20">
        <f t="shared" si="1"/>
        <v>7.25</v>
      </c>
      <c r="Z16" s="21">
        <f t="shared" si="2"/>
        <v>7.25</v>
      </c>
      <c r="AA16" s="21">
        <f t="shared" si="8"/>
        <v>0</v>
      </c>
      <c r="AB16" s="20">
        <v>7.25</v>
      </c>
      <c r="AC16">
        <f t="shared" si="9"/>
        <v>7.25</v>
      </c>
    </row>
    <row r="17" spans="2:29" x14ac:dyDescent="0.2">
      <c r="B17" s="17">
        <v>46093</v>
      </c>
      <c r="C17" s="18" t="str">
        <f t="shared" si="3"/>
        <v>木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41"/>
      <c r="V17" s="2">
        <v>0.375</v>
      </c>
      <c r="W17" s="2">
        <v>0.72916666666666663</v>
      </c>
      <c r="X17" s="2">
        <v>5.2083333333333336E-2</v>
      </c>
      <c r="Y17" s="20">
        <f t="shared" si="1"/>
        <v>7.25</v>
      </c>
      <c r="Z17" s="21">
        <f t="shared" si="2"/>
        <v>7.25</v>
      </c>
      <c r="AA17" s="21">
        <f t="shared" si="8"/>
        <v>0</v>
      </c>
      <c r="AB17" s="20">
        <v>7.25</v>
      </c>
      <c r="AC17">
        <f t="shared" si="9"/>
        <v>7.25</v>
      </c>
    </row>
    <row r="18" spans="2:29" x14ac:dyDescent="0.2">
      <c r="B18" s="17">
        <v>46094</v>
      </c>
      <c r="C18" s="18" t="str">
        <f t="shared" si="3"/>
        <v>金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41"/>
      <c r="V18" s="2">
        <v>0.375</v>
      </c>
      <c r="W18" s="2">
        <v>0.72916666666666663</v>
      </c>
      <c r="X18" s="2">
        <v>5.2083333333333336E-2</v>
      </c>
      <c r="Y18" s="20">
        <f t="shared" si="1"/>
        <v>7.25</v>
      </c>
      <c r="Z18" s="21">
        <f t="shared" si="2"/>
        <v>7.25</v>
      </c>
      <c r="AA18" s="21">
        <f t="shared" si="8"/>
        <v>0</v>
      </c>
      <c r="AB18" s="20">
        <v>7.25</v>
      </c>
      <c r="AC18">
        <f t="shared" si="9"/>
        <v>7.25</v>
      </c>
    </row>
    <row r="19" spans="2:29" x14ac:dyDescent="0.2">
      <c r="B19" s="17">
        <v>46095</v>
      </c>
      <c r="C19" s="18" t="str">
        <f t="shared" si="3"/>
        <v>土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44"/>
      <c r="V19" s="2"/>
      <c r="W19" s="2"/>
      <c r="X19" s="2"/>
      <c r="Y19" s="20">
        <f t="shared" si="1"/>
        <v>0</v>
      </c>
      <c r="Z19" s="21">
        <f t="shared" si="2"/>
        <v>0</v>
      </c>
      <c r="AA19" s="21"/>
      <c r="AB19" s="20"/>
    </row>
    <row r="20" spans="2:29" x14ac:dyDescent="0.2">
      <c r="B20" s="17">
        <v>46096</v>
      </c>
      <c r="C20" s="18" t="str">
        <f t="shared" si="3"/>
        <v>日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39"/>
      <c r="V20" s="2"/>
      <c r="W20" s="2"/>
      <c r="X20" s="2"/>
      <c r="Y20" s="20">
        <f t="shared" ref="Y20:Y21" si="14">(W20-V20-X20)*24</f>
        <v>0</v>
      </c>
      <c r="Z20" s="21">
        <f t="shared" ref="Z20:Z21" si="15">Y20-T20</f>
        <v>0</v>
      </c>
      <c r="AA20" s="21"/>
      <c r="AB20" s="20"/>
    </row>
    <row r="21" spans="2:29" x14ac:dyDescent="0.2">
      <c r="B21" s="17">
        <v>46097</v>
      </c>
      <c r="C21" s="18" t="str">
        <f t="shared" si="3"/>
        <v>月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44"/>
      <c r="V21" s="2">
        <v>0.375</v>
      </c>
      <c r="W21" s="2">
        <v>0.72916666666666663</v>
      </c>
      <c r="X21" s="2">
        <v>5.2083333333333336E-2</v>
      </c>
      <c r="Y21" s="20">
        <f t="shared" si="14"/>
        <v>7.25</v>
      </c>
      <c r="Z21" s="21">
        <f t="shared" si="15"/>
        <v>7.25</v>
      </c>
      <c r="AA21" s="21">
        <f t="shared" ref="AA21" si="16">AC21-AB21</f>
        <v>0</v>
      </c>
      <c r="AB21" s="20">
        <v>7.25</v>
      </c>
      <c r="AC21">
        <f t="shared" ref="AC21" si="17">ABS(Y21)</f>
        <v>7.25</v>
      </c>
    </row>
    <row r="22" spans="2:29" x14ac:dyDescent="0.2">
      <c r="B22" s="17">
        <v>46098</v>
      </c>
      <c r="C22" s="18" t="str">
        <f t="shared" si="3"/>
        <v>火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19"/>
      <c r="V22" s="2">
        <v>0.375</v>
      </c>
      <c r="W22" s="2">
        <v>0.72916666666666663</v>
      </c>
      <c r="X22" s="2">
        <v>5.2083333333333336E-2</v>
      </c>
      <c r="Y22" s="20">
        <f t="shared" si="1"/>
        <v>7.25</v>
      </c>
      <c r="Z22" s="21">
        <f t="shared" si="2"/>
        <v>7.25</v>
      </c>
      <c r="AA22" s="21">
        <f t="shared" si="8"/>
        <v>0</v>
      </c>
      <c r="AB22" s="20">
        <v>7.25</v>
      </c>
      <c r="AC22">
        <f t="shared" si="9"/>
        <v>7.25</v>
      </c>
    </row>
    <row r="23" spans="2:29" x14ac:dyDescent="0.2">
      <c r="B23" s="17">
        <v>46099</v>
      </c>
      <c r="C23" s="18" t="str">
        <f t="shared" si="3"/>
        <v>水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41"/>
      <c r="V23" s="2">
        <v>0.375</v>
      </c>
      <c r="W23" s="2">
        <v>0.72916666666666663</v>
      </c>
      <c r="X23" s="2">
        <v>5.2083333333333336E-2</v>
      </c>
      <c r="Y23" s="20">
        <f t="shared" si="1"/>
        <v>7.25</v>
      </c>
      <c r="Z23" s="21">
        <f t="shared" si="2"/>
        <v>7.25</v>
      </c>
      <c r="AA23" s="21">
        <f t="shared" si="8"/>
        <v>0</v>
      </c>
      <c r="AB23" s="20">
        <v>7.25</v>
      </c>
      <c r="AC23">
        <f t="shared" si="9"/>
        <v>7.25</v>
      </c>
    </row>
    <row r="24" spans="2:29" x14ac:dyDescent="0.2">
      <c r="B24" s="17">
        <v>46100</v>
      </c>
      <c r="C24" s="18" t="str">
        <f t="shared" si="3"/>
        <v>木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19"/>
      <c r="V24" s="2">
        <v>0.375</v>
      </c>
      <c r="W24" s="2">
        <v>0.72916666666666663</v>
      </c>
      <c r="X24" s="2">
        <v>5.2083333333333336E-2</v>
      </c>
      <c r="Y24" s="20">
        <f t="shared" si="1"/>
        <v>7.25</v>
      </c>
      <c r="Z24" s="21">
        <f t="shared" si="2"/>
        <v>7.25</v>
      </c>
      <c r="AA24" s="21">
        <f t="shared" si="8"/>
        <v>0</v>
      </c>
      <c r="AB24" s="20">
        <v>7.25</v>
      </c>
      <c r="AC24">
        <f t="shared" si="9"/>
        <v>7.25</v>
      </c>
    </row>
    <row r="25" spans="2:29" x14ac:dyDescent="0.2">
      <c r="B25" s="17">
        <v>46101</v>
      </c>
      <c r="C25" s="18" t="str">
        <f t="shared" si="3"/>
        <v>金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39" t="s">
        <v>30</v>
      </c>
      <c r="V25" s="2"/>
      <c r="W25" s="2"/>
      <c r="X25" s="2"/>
      <c r="Y25" s="20">
        <f t="shared" si="1"/>
        <v>0</v>
      </c>
      <c r="Z25" s="21">
        <f t="shared" si="2"/>
        <v>0</v>
      </c>
      <c r="AA25" s="21"/>
      <c r="AB25" s="20"/>
    </row>
    <row r="26" spans="2:29" x14ac:dyDescent="0.2">
      <c r="B26" s="17">
        <v>46102</v>
      </c>
      <c r="C26" s="18" t="str">
        <f t="shared" si="3"/>
        <v>土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39"/>
      <c r="V26" s="2"/>
      <c r="W26" s="2"/>
      <c r="X26" s="2"/>
      <c r="Y26" s="20">
        <f t="shared" si="1"/>
        <v>0</v>
      </c>
      <c r="Z26" s="21">
        <f t="shared" si="2"/>
        <v>0</v>
      </c>
      <c r="AA26" s="21"/>
      <c r="AB26" s="20"/>
    </row>
    <row r="27" spans="2:29" x14ac:dyDescent="0.2">
      <c r="B27" s="17">
        <v>46103</v>
      </c>
      <c r="C27" s="18" t="str">
        <f t="shared" si="3"/>
        <v>日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19"/>
      <c r="V27" s="2"/>
      <c r="W27" s="2"/>
      <c r="X27" s="2"/>
      <c r="Y27" s="20">
        <f t="shared" ref="Y27:Y28" si="18">(W27-V27-X27)*24</f>
        <v>0</v>
      </c>
      <c r="Z27" s="21">
        <f t="shared" ref="Z27:Z28" si="19">Y27-T27</f>
        <v>0</v>
      </c>
      <c r="AA27" s="21"/>
      <c r="AB27" s="20"/>
    </row>
    <row r="28" spans="2:29" x14ac:dyDescent="0.2">
      <c r="B28" s="17">
        <v>46104</v>
      </c>
      <c r="C28" s="18" t="str">
        <f t="shared" si="3"/>
        <v>月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39"/>
      <c r="V28" s="2">
        <v>0.375</v>
      </c>
      <c r="W28" s="2">
        <v>0.72916666666666663</v>
      </c>
      <c r="X28" s="2">
        <v>5.2083333333333336E-2</v>
      </c>
      <c r="Y28" s="20">
        <f t="shared" si="18"/>
        <v>7.25</v>
      </c>
      <c r="Z28" s="21">
        <f t="shared" si="19"/>
        <v>7.25</v>
      </c>
      <c r="AA28" s="21">
        <f t="shared" ref="AA28" si="20">AC28-AB28</f>
        <v>0</v>
      </c>
      <c r="AB28" s="20">
        <v>7.25</v>
      </c>
      <c r="AC28">
        <f t="shared" ref="AC28" si="21">ABS(Y28)</f>
        <v>7.25</v>
      </c>
    </row>
    <row r="29" spans="2:29" x14ac:dyDescent="0.2">
      <c r="B29" s="17">
        <v>46105</v>
      </c>
      <c r="C29" s="18" t="str">
        <f t="shared" si="3"/>
        <v>火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19"/>
      <c r="V29" s="2">
        <v>0.375</v>
      </c>
      <c r="W29" s="2">
        <v>0.72916666666666663</v>
      </c>
      <c r="X29" s="2">
        <v>5.2083333333333336E-2</v>
      </c>
      <c r="Y29" s="20">
        <f t="shared" si="1"/>
        <v>7.25</v>
      </c>
      <c r="Z29" s="21">
        <f t="shared" si="2"/>
        <v>7.25</v>
      </c>
      <c r="AA29" s="21">
        <f t="shared" si="8"/>
        <v>0</v>
      </c>
      <c r="AB29" s="20">
        <v>7.25</v>
      </c>
      <c r="AC29">
        <f t="shared" si="9"/>
        <v>7.25</v>
      </c>
    </row>
    <row r="30" spans="2:29" x14ac:dyDescent="0.2">
      <c r="B30" s="17">
        <v>46106</v>
      </c>
      <c r="C30" s="18" t="str">
        <f t="shared" si="3"/>
        <v>水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5"/>
      <c r="V30" s="2">
        <v>0.375</v>
      </c>
      <c r="W30" s="2">
        <v>0.72916666666666663</v>
      </c>
      <c r="X30" s="2">
        <v>5.2083333333333336E-2</v>
      </c>
      <c r="Y30" s="20">
        <f t="shared" si="1"/>
        <v>7.25</v>
      </c>
      <c r="Z30" s="21">
        <f t="shared" si="2"/>
        <v>7.25</v>
      </c>
      <c r="AA30" s="21">
        <f t="shared" si="8"/>
        <v>0</v>
      </c>
      <c r="AB30" s="20">
        <v>7.25</v>
      </c>
      <c r="AC30">
        <f t="shared" si="9"/>
        <v>7.25</v>
      </c>
    </row>
    <row r="31" spans="2:29" x14ac:dyDescent="0.2">
      <c r="B31" s="17">
        <v>46107</v>
      </c>
      <c r="C31" s="18" t="str">
        <f t="shared" si="3"/>
        <v>木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19"/>
      <c r="V31" s="2">
        <v>0.375</v>
      </c>
      <c r="W31" s="2">
        <v>0.72916666666666663</v>
      </c>
      <c r="X31" s="2">
        <v>5.2083333333333336E-2</v>
      </c>
      <c r="Y31" s="20">
        <f t="shared" si="1"/>
        <v>7.25</v>
      </c>
      <c r="Z31" s="21">
        <f t="shared" si="2"/>
        <v>7.25</v>
      </c>
      <c r="AA31" s="21">
        <f t="shared" si="8"/>
        <v>0</v>
      </c>
      <c r="AB31" s="20">
        <v>7.25</v>
      </c>
      <c r="AC31">
        <f t="shared" si="9"/>
        <v>7.25</v>
      </c>
    </row>
    <row r="32" spans="2:29" x14ac:dyDescent="0.2">
      <c r="B32" s="17">
        <v>46108</v>
      </c>
      <c r="C32" s="18" t="str">
        <f t="shared" si="3"/>
        <v>金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19"/>
      <c r="V32" s="2">
        <v>0.375</v>
      </c>
      <c r="W32" s="2">
        <v>0.72916666666666663</v>
      </c>
      <c r="X32" s="2">
        <v>5.2083333333333336E-2</v>
      </c>
      <c r="Y32" s="20">
        <f t="shared" si="1"/>
        <v>7.25</v>
      </c>
      <c r="Z32" s="21">
        <f t="shared" si="2"/>
        <v>7.25</v>
      </c>
      <c r="AA32" s="21">
        <f t="shared" si="8"/>
        <v>0</v>
      </c>
      <c r="AB32" s="20">
        <v>7.25</v>
      </c>
      <c r="AC32">
        <f t="shared" si="9"/>
        <v>7.25</v>
      </c>
    </row>
    <row r="33" spans="2:29" x14ac:dyDescent="0.2">
      <c r="B33" s="17">
        <v>46109</v>
      </c>
      <c r="C33" s="18" t="str">
        <f t="shared" si="3"/>
        <v>土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19"/>
      <c r="V33" s="2"/>
      <c r="W33" s="2"/>
      <c r="X33" s="2"/>
      <c r="Y33" s="20">
        <f t="shared" si="1"/>
        <v>0</v>
      </c>
      <c r="Z33" s="21">
        <f t="shared" si="2"/>
        <v>0</v>
      </c>
      <c r="AA33" s="21"/>
      <c r="AB33" s="20"/>
    </row>
    <row r="34" spans="2:29" x14ac:dyDescent="0.2">
      <c r="B34" s="17">
        <v>46110</v>
      </c>
      <c r="C34" s="18" t="str">
        <f t="shared" si="3"/>
        <v>日</v>
      </c>
      <c r="D34" s="3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44"/>
      <c r="V34" s="2"/>
      <c r="W34" s="2"/>
      <c r="X34" s="2"/>
      <c r="Y34" s="20">
        <f t="shared" ref="Y34:Y35" si="22">(W34-V34-X34)*24</f>
        <v>0</v>
      </c>
      <c r="Z34" s="21">
        <f t="shared" ref="Z34:Z35" si="23">Y34-T34</f>
        <v>0</v>
      </c>
      <c r="AA34" s="21"/>
      <c r="AB34" s="20"/>
    </row>
    <row r="35" spans="2:29" x14ac:dyDescent="0.2">
      <c r="B35" s="17">
        <v>46111</v>
      </c>
      <c r="C35" s="18" t="str">
        <f t="shared" si="3"/>
        <v>月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41"/>
      <c r="V35" s="2">
        <v>0.375</v>
      </c>
      <c r="W35" s="2">
        <v>0.72916666666666663</v>
      </c>
      <c r="X35" s="2">
        <v>5.2083333333333336E-2</v>
      </c>
      <c r="Y35" s="20">
        <f t="shared" si="22"/>
        <v>7.25</v>
      </c>
      <c r="Z35" s="21">
        <f t="shared" si="23"/>
        <v>7.25</v>
      </c>
      <c r="AA35" s="21">
        <f t="shared" ref="AA35" si="24">AC35-AB35</f>
        <v>0</v>
      </c>
      <c r="AB35" s="20">
        <v>7.25</v>
      </c>
      <c r="AC35">
        <f t="shared" ref="AC35" si="25">ABS(Y35)</f>
        <v>7.25</v>
      </c>
    </row>
    <row r="36" spans="2:29" ht="13.8" thickBot="1" x14ac:dyDescent="0.25">
      <c r="B36" s="25">
        <v>46112</v>
      </c>
      <c r="C36" s="26" t="str">
        <f t="shared" si="3"/>
        <v>火</v>
      </c>
      <c r="D36" s="46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>
        <f t="shared" si="0"/>
        <v>0</v>
      </c>
      <c r="U36" s="27"/>
      <c r="V36" s="2">
        <v>0.375</v>
      </c>
      <c r="W36" s="2">
        <v>0.72916666666666663</v>
      </c>
      <c r="X36" s="2">
        <v>5.2083333333333336E-2</v>
      </c>
      <c r="Y36" s="20">
        <f t="shared" si="1"/>
        <v>7.25</v>
      </c>
      <c r="Z36" s="21">
        <f t="shared" si="2"/>
        <v>7.25</v>
      </c>
      <c r="AA36" s="21">
        <f t="shared" si="8"/>
        <v>0</v>
      </c>
      <c r="AB36" s="20">
        <v>7.25</v>
      </c>
      <c r="AC36">
        <f t="shared" si="9"/>
        <v>7.25</v>
      </c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T37" si="26">SUM(E6:E36)</f>
        <v>0</v>
      </c>
      <c r="F37" s="22">
        <f t="shared" si="26"/>
        <v>0</v>
      </c>
      <c r="G37" s="22">
        <f t="shared" si="26"/>
        <v>0</v>
      </c>
      <c r="H37" s="22">
        <f t="shared" si="26"/>
        <v>0</v>
      </c>
      <c r="I37" s="22">
        <f t="shared" si="26"/>
        <v>0</v>
      </c>
      <c r="J37" s="22">
        <f t="shared" si="26"/>
        <v>0</v>
      </c>
      <c r="K37" s="22">
        <f t="shared" si="26"/>
        <v>0</v>
      </c>
      <c r="L37" s="22">
        <f t="shared" si="26"/>
        <v>0</v>
      </c>
      <c r="M37" s="22">
        <f t="shared" si="26"/>
        <v>0</v>
      </c>
      <c r="N37" s="22">
        <f t="shared" si="26"/>
        <v>0</v>
      </c>
      <c r="O37" s="22">
        <f t="shared" si="26"/>
        <v>0</v>
      </c>
      <c r="P37" s="22">
        <f>SUM(P6:P36)</f>
        <v>0</v>
      </c>
      <c r="Q37" s="22">
        <f>SUM(Q6:Q36)</f>
        <v>0</v>
      </c>
      <c r="R37" s="22">
        <f>SUM(R6:R36)</f>
        <v>0</v>
      </c>
      <c r="S37" s="22">
        <f t="shared" si="26"/>
        <v>0</v>
      </c>
      <c r="T37" s="23">
        <f t="shared" si="26"/>
        <v>0</v>
      </c>
      <c r="U37" s="24"/>
      <c r="V37" s="2"/>
      <c r="AA37" s="21">
        <f>SUM(AA6:AA36)</f>
        <v>0</v>
      </c>
      <c r="AB37" s="21">
        <f>SUM(AB6:AB36)</f>
        <v>152.25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17"/>
      <c r="C41" s="18" t="str">
        <f t="shared" ref="C41:C49" si="27">TEXT(B41,"aaa")</f>
        <v>土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>
        <f t="shared" ref="T41:T50" si="28">SUM(D41:S41)</f>
        <v>0</v>
      </c>
      <c r="U41" s="40"/>
      <c r="W41" s="38"/>
    </row>
    <row r="42" spans="2:29" x14ac:dyDescent="0.2">
      <c r="B42" s="17"/>
      <c r="C42" s="18" t="str">
        <f t="shared" si="27"/>
        <v>土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>
        <f t="shared" si="28"/>
        <v>0</v>
      </c>
      <c r="U42" s="40"/>
      <c r="V42" s="38"/>
    </row>
    <row r="43" spans="2:29" x14ac:dyDescent="0.2">
      <c r="B43" s="17"/>
      <c r="C43" s="18" t="str">
        <f t="shared" si="27"/>
        <v>土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>
        <f t="shared" si="28"/>
        <v>0</v>
      </c>
      <c r="U43" s="40"/>
    </row>
    <row r="44" spans="2:29" x14ac:dyDescent="0.2">
      <c r="B44" s="17"/>
      <c r="C44" s="18" t="str">
        <f t="shared" si="27"/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si="28"/>
        <v>0</v>
      </c>
      <c r="U44" s="40"/>
    </row>
    <row r="45" spans="2:29" x14ac:dyDescent="0.2">
      <c r="B45" s="17"/>
      <c r="C45" s="18" t="str">
        <f t="shared" si="27"/>
        <v>土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>
        <f t="shared" si="28"/>
        <v>0</v>
      </c>
      <c r="U45" s="40"/>
    </row>
    <row r="46" spans="2:29" x14ac:dyDescent="0.2">
      <c r="B46" s="17"/>
      <c r="C46" s="18" t="str">
        <f t="shared" si="27"/>
        <v>土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si="28"/>
        <v>0</v>
      </c>
      <c r="U46" s="40"/>
    </row>
    <row r="47" spans="2:29" x14ac:dyDescent="0.2">
      <c r="B47" s="17"/>
      <c r="C47" s="18" t="str">
        <f t="shared" si="27"/>
        <v>土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>
        <f t="shared" si="28"/>
        <v>0</v>
      </c>
      <c r="U47" s="40"/>
    </row>
    <row r="48" spans="2:29" x14ac:dyDescent="0.2">
      <c r="B48" s="17"/>
      <c r="C48" s="18" t="str">
        <f t="shared" si="27"/>
        <v>土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>
        <f t="shared" si="28"/>
        <v>0</v>
      </c>
      <c r="U48" s="40"/>
    </row>
    <row r="49" spans="2:21" x14ac:dyDescent="0.2">
      <c r="B49" s="17"/>
      <c r="C49" s="18" t="str">
        <f t="shared" si="27"/>
        <v>土</v>
      </c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34"/>
      <c r="S49" s="50"/>
      <c r="T49" s="34">
        <f t="shared" si="28"/>
        <v>0</v>
      </c>
      <c r="U49" s="67"/>
    </row>
    <row r="50" spans="2:21" x14ac:dyDescent="0.2">
      <c r="B50" s="59"/>
      <c r="C50" s="66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34">
        <f t="shared" si="28"/>
        <v>0</v>
      </c>
      <c r="U50" s="67"/>
    </row>
    <row r="51" spans="2:21" ht="13.8" thickBot="1" x14ac:dyDescent="0.25">
      <c r="B51" s="25"/>
      <c r="C51" s="26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42"/>
    </row>
    <row r="52" spans="2:21" ht="13.8" thickTop="1" x14ac:dyDescent="0.2">
      <c r="B52" s="29" t="s">
        <v>21</v>
      </c>
      <c r="C52" s="22" t="s">
        <v>0</v>
      </c>
      <c r="D52" s="22">
        <f t="shared" ref="D52:T52" si="29">SUM(D41:D51)</f>
        <v>0</v>
      </c>
      <c r="E52" s="22">
        <f t="shared" si="29"/>
        <v>0</v>
      </c>
      <c r="F52" s="22">
        <f t="shared" si="29"/>
        <v>0</v>
      </c>
      <c r="G52" s="22">
        <f t="shared" si="29"/>
        <v>0</v>
      </c>
      <c r="H52" s="22">
        <f t="shared" si="29"/>
        <v>0</v>
      </c>
      <c r="I52" s="22">
        <f t="shared" si="29"/>
        <v>0</v>
      </c>
      <c r="J52" s="22">
        <f t="shared" si="29"/>
        <v>0</v>
      </c>
      <c r="K52" s="22">
        <f t="shared" si="29"/>
        <v>0</v>
      </c>
      <c r="L52" s="22">
        <f t="shared" si="29"/>
        <v>0</v>
      </c>
      <c r="M52" s="22">
        <f t="shared" si="29"/>
        <v>0</v>
      </c>
      <c r="N52" s="22">
        <f t="shared" si="29"/>
        <v>0</v>
      </c>
      <c r="O52" s="22">
        <f t="shared" si="29"/>
        <v>0</v>
      </c>
      <c r="P52" s="22">
        <f t="shared" si="29"/>
        <v>0</v>
      </c>
      <c r="Q52" s="22">
        <f t="shared" si="29"/>
        <v>0</v>
      </c>
      <c r="R52" s="22">
        <f t="shared" si="29"/>
        <v>0</v>
      </c>
      <c r="S52" s="22">
        <f t="shared" si="29"/>
        <v>0</v>
      </c>
      <c r="T52" s="22">
        <f t="shared" si="29"/>
        <v>0</v>
      </c>
      <c r="U52" s="43"/>
    </row>
  </sheetData>
  <phoneticPr fontId="1"/>
  <conditionalFormatting sqref="Z6:Z36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AC50"/>
  <sheetViews>
    <sheetView tabSelected="1" topLeftCell="B1" zoomScale="70" zoomScaleNormal="70" workbookViewId="0">
      <pane xSplit="2" ySplit="5" topLeftCell="D6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B1" sqref="B1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33"/>
      <c r="I1" s="61"/>
      <c r="J1" s="62"/>
      <c r="L1" s="61"/>
      <c r="R1" s="33"/>
    </row>
    <row r="2" spans="2:29" ht="39.6" x14ac:dyDescent="0.2">
      <c r="B2" s="15" t="s">
        <v>6</v>
      </c>
      <c r="C2" s="11"/>
      <c r="D2" s="16"/>
      <c r="E2" s="16"/>
      <c r="F2" s="16"/>
      <c r="G2" s="16"/>
      <c r="H2" s="16"/>
      <c r="I2" s="64"/>
      <c r="J2" s="64"/>
      <c r="K2" s="16"/>
      <c r="L2" s="16"/>
      <c r="M2" s="16"/>
      <c r="N2" s="16"/>
      <c r="O2" s="16"/>
      <c r="P2" s="16"/>
      <c r="Q2" s="16"/>
      <c r="R2" s="16"/>
      <c r="S2" s="16">
        <v>0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13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/>
      <c r="P3" s="13"/>
      <c r="Q3" s="13" t="str">
        <f>IF(ISERROR(VLOOKUP(Q2,件番!$A$10:$D$113,2,FALSE)),"",(VLOOKUP(Q2,件番!$A$10:$D$113,2,FALSE)))</f>
        <v/>
      </c>
      <c r="R3" s="13" t="str">
        <f>IF(ISERROR(VLOOKUP(R2,件番!$A$10:$D$113,2,FALSE)),"",(VLOOKUP(R2,件番!$A$10:$D$113,2,FALSE)))</f>
        <v/>
      </c>
      <c r="S3" s="13" t="str">
        <f>IF(ISERROR(VLOOKUP(S2,件番!$A$3:$D$113,2,FALSE)),"",(VLOOKUP(S2,件番!$A$3:$D$113,2,FALSE)))</f>
        <v>2032B1007</v>
      </c>
      <c r="T3" s="13"/>
      <c r="U3" s="13"/>
    </row>
    <row r="4" spans="2:29" ht="26.4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13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/>
      <c r="P4" s="13"/>
      <c r="Q4" s="13" t="str">
        <f>IF(ISERROR(VLOOKUP(Q2,件番!$A$10:$D$113,2,FALSE)),"",(VLOOKUP(Q2,件番!$A$10:$D$113,3,FALSE)))</f>
        <v/>
      </c>
      <c r="R4" s="13" t="str">
        <f>IF(ISERROR(VLOOKUP(R2,件番!$A$10:$D$113,2,FALSE)),"",(VLOOKUP(R2,件番!$A$10:$D$113,3,FALSE)))</f>
        <v/>
      </c>
      <c r="S4" s="13" t="str">
        <f>IF(ISERROR(VLOOKUP(S2,件番!$A$3:$D$113,2,FALSE)),"",(VLOOKUP(S2,件番!$A$3:$D$113,3,FALSE)))</f>
        <v>関東交技会議（支店、生産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13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/>
      <c r="P5" s="13"/>
      <c r="Q5" s="13" t="str">
        <f>IF(ISERROR(VLOOKUP(Q2,件番!$A$10:$D$113,2,FALSE)),"",(VLOOKUP(Q2,件番!$A$10:$D$113,4,FALSE)))</f>
        <v/>
      </c>
      <c r="R5" s="13" t="str">
        <f>IF(ISERROR(VLOOKUP(R2,件番!$A$10:$D$113,2,FALSE)),"",(VLOOKUP(R2,件番!$A$10:$D$113,4,FALSE)))</f>
        <v/>
      </c>
      <c r="S5" s="13">
        <f>IF(ISERROR(VLOOKUP(S2,件番!$A$3:$D$113,2,FALSE)),"",(VLOOKUP(S2,件番!$A$3:$D$113,4,FALSE)))</f>
        <v>0</v>
      </c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46113</v>
      </c>
      <c r="C6" s="18" t="str">
        <f>TEXT(B6,"aaa")</f>
        <v>水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5" si="0">SUM(D6:S6)</f>
        <v>0</v>
      </c>
      <c r="U6" s="19"/>
      <c r="V6" s="2">
        <v>0.375</v>
      </c>
      <c r="W6" s="2">
        <v>0.72916666666666663</v>
      </c>
      <c r="X6" s="2">
        <v>5.2083333333333336E-2</v>
      </c>
      <c r="Y6" s="20">
        <f t="shared" ref="Y6:Y35" si="1">(W6-V6-X6)*24</f>
        <v>7.25</v>
      </c>
      <c r="Z6" s="21">
        <f t="shared" ref="Z6:Z35" si="2">Y6-T6</f>
        <v>7.25</v>
      </c>
      <c r="AA6" s="21">
        <f t="shared" ref="AA6" si="3">AC6-AB6</f>
        <v>0</v>
      </c>
      <c r="AB6" s="20">
        <v>7.25</v>
      </c>
      <c r="AC6">
        <f t="shared" ref="AC6" si="4">ABS(Y6)</f>
        <v>7.25</v>
      </c>
    </row>
    <row r="7" spans="2:29" x14ac:dyDescent="0.2">
      <c r="B7" s="17">
        <v>46114</v>
      </c>
      <c r="C7" s="18" t="str">
        <f t="shared" ref="C7:C35" si="5">TEXT(B7,"aaa")</f>
        <v>木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41"/>
      <c r="V7" s="2">
        <v>0.375</v>
      </c>
      <c r="W7" s="2">
        <v>0.72916666666666663</v>
      </c>
      <c r="X7" s="2">
        <v>5.2083333333333336E-2</v>
      </c>
      <c r="Y7" s="20">
        <f t="shared" ref="Y7:Y8" si="6">(W7-V7-X7)*24</f>
        <v>7.25</v>
      </c>
      <c r="Z7" s="21">
        <f t="shared" ref="Z7:Z8" si="7">Y7-T7</f>
        <v>7.25</v>
      </c>
      <c r="AA7" s="21">
        <f t="shared" ref="AA7:AA8" si="8">AC7-AB7</f>
        <v>0</v>
      </c>
      <c r="AB7" s="20">
        <v>7.25</v>
      </c>
      <c r="AC7">
        <f t="shared" ref="AC7:AC8" si="9">ABS(Y7)</f>
        <v>7.25</v>
      </c>
    </row>
    <row r="8" spans="2:29" x14ac:dyDescent="0.2">
      <c r="B8" s="17">
        <v>46115</v>
      </c>
      <c r="C8" s="18" t="str">
        <f t="shared" si="5"/>
        <v>金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19"/>
      <c r="V8" s="2">
        <v>0.375</v>
      </c>
      <c r="W8" s="2">
        <v>0.72916666666666663</v>
      </c>
      <c r="X8" s="2">
        <v>5.2083333333333336E-2</v>
      </c>
      <c r="Y8" s="20">
        <f t="shared" si="6"/>
        <v>7.25</v>
      </c>
      <c r="Z8" s="21">
        <f t="shared" si="7"/>
        <v>7.25</v>
      </c>
      <c r="AA8" s="21">
        <f t="shared" si="8"/>
        <v>0</v>
      </c>
      <c r="AB8" s="20">
        <v>7.25</v>
      </c>
      <c r="AC8">
        <f t="shared" si="9"/>
        <v>7.25</v>
      </c>
    </row>
    <row r="9" spans="2:29" x14ac:dyDescent="0.2">
      <c r="B9" s="17">
        <v>46116</v>
      </c>
      <c r="C9" s="18" t="str">
        <f t="shared" si="5"/>
        <v>土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39"/>
      <c r="V9" s="2"/>
      <c r="W9" s="2"/>
      <c r="X9" s="2"/>
      <c r="Y9" s="20">
        <f t="shared" si="1"/>
        <v>0</v>
      </c>
      <c r="Z9" s="21">
        <f t="shared" si="2"/>
        <v>0</v>
      </c>
      <c r="AA9" s="21"/>
      <c r="AB9" s="20"/>
    </row>
    <row r="10" spans="2:29" x14ac:dyDescent="0.2">
      <c r="B10" s="17">
        <v>46117</v>
      </c>
      <c r="C10" s="18" t="str">
        <f t="shared" si="5"/>
        <v>日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19"/>
      <c r="V10" s="2"/>
      <c r="W10" s="2"/>
      <c r="X10" s="2"/>
      <c r="Y10" s="20">
        <f t="shared" si="1"/>
        <v>0</v>
      </c>
      <c r="Z10" s="21">
        <f t="shared" si="2"/>
        <v>0</v>
      </c>
      <c r="AA10" s="21"/>
      <c r="AB10" s="20"/>
    </row>
    <row r="11" spans="2:29" x14ac:dyDescent="0.2">
      <c r="B11" s="17">
        <v>46118</v>
      </c>
      <c r="C11" s="18" t="str">
        <f t="shared" si="5"/>
        <v>月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19"/>
      <c r="V11" s="2">
        <v>0.375</v>
      </c>
      <c r="W11" s="2">
        <v>0.72916666666666663</v>
      </c>
      <c r="X11" s="2">
        <v>5.2083333333333336E-2</v>
      </c>
      <c r="Y11" s="20">
        <f t="shared" si="1"/>
        <v>7.25</v>
      </c>
      <c r="Z11" s="21">
        <f t="shared" si="2"/>
        <v>7.25</v>
      </c>
      <c r="AA11" s="21">
        <f t="shared" ref="AA11:AA15" si="10">AC11-AB11</f>
        <v>0</v>
      </c>
      <c r="AB11" s="20">
        <v>7.25</v>
      </c>
      <c r="AC11">
        <f t="shared" ref="AC11:AC15" si="11">ABS(Y11)</f>
        <v>7.25</v>
      </c>
    </row>
    <row r="12" spans="2:29" x14ac:dyDescent="0.2">
      <c r="B12" s="17">
        <v>46119</v>
      </c>
      <c r="C12" s="18" t="str">
        <f t="shared" si="5"/>
        <v>火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41"/>
      <c r="V12" s="2">
        <v>0.375</v>
      </c>
      <c r="W12" s="2">
        <v>0.72916666666666663</v>
      </c>
      <c r="X12" s="2">
        <v>5.2083333333333336E-2</v>
      </c>
      <c r="Y12" s="20">
        <f t="shared" si="1"/>
        <v>7.25</v>
      </c>
      <c r="Z12" s="21">
        <f t="shared" si="2"/>
        <v>7.25</v>
      </c>
      <c r="AA12" s="21">
        <f t="shared" si="10"/>
        <v>0</v>
      </c>
      <c r="AB12" s="20">
        <v>7.25</v>
      </c>
      <c r="AC12">
        <f t="shared" si="11"/>
        <v>7.25</v>
      </c>
    </row>
    <row r="13" spans="2:29" x14ac:dyDescent="0.2">
      <c r="B13" s="17">
        <v>46120</v>
      </c>
      <c r="C13" s="18" t="str">
        <f t="shared" si="5"/>
        <v>水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19"/>
      <c r="V13" s="2">
        <v>0.375</v>
      </c>
      <c r="W13" s="2">
        <v>0.72916666666666663</v>
      </c>
      <c r="X13" s="2">
        <v>5.2083333333333336E-2</v>
      </c>
      <c r="Y13" s="20">
        <f t="shared" si="1"/>
        <v>7.25</v>
      </c>
      <c r="Z13" s="21">
        <f t="shared" si="2"/>
        <v>7.25</v>
      </c>
      <c r="AA13" s="21">
        <f t="shared" si="10"/>
        <v>0</v>
      </c>
      <c r="AB13" s="20">
        <v>7.25</v>
      </c>
      <c r="AC13">
        <f t="shared" si="11"/>
        <v>7.25</v>
      </c>
    </row>
    <row r="14" spans="2:29" x14ac:dyDescent="0.2">
      <c r="B14" s="17">
        <v>46121</v>
      </c>
      <c r="C14" s="18" t="str">
        <f t="shared" si="5"/>
        <v>木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44"/>
      <c r="V14" s="2">
        <v>0.375</v>
      </c>
      <c r="W14" s="2">
        <v>0.72916666666666663</v>
      </c>
      <c r="X14" s="2">
        <v>5.2083333333333336E-2</v>
      </c>
      <c r="Y14" s="20">
        <f t="shared" si="1"/>
        <v>7.25</v>
      </c>
      <c r="Z14" s="21">
        <f t="shared" si="2"/>
        <v>7.25</v>
      </c>
      <c r="AA14" s="21">
        <f t="shared" si="10"/>
        <v>0</v>
      </c>
      <c r="AB14" s="20">
        <v>7.25</v>
      </c>
      <c r="AC14">
        <f t="shared" si="11"/>
        <v>7.25</v>
      </c>
    </row>
    <row r="15" spans="2:29" x14ac:dyDescent="0.2">
      <c r="B15" s="17">
        <v>46122</v>
      </c>
      <c r="C15" s="18" t="str">
        <f t="shared" si="5"/>
        <v>金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19"/>
      <c r="V15" s="2">
        <v>0.375</v>
      </c>
      <c r="W15" s="2">
        <v>0.72916666666666663</v>
      </c>
      <c r="X15" s="2">
        <v>5.2083333333333336E-2</v>
      </c>
      <c r="Y15" s="20">
        <f t="shared" si="1"/>
        <v>7.25</v>
      </c>
      <c r="Z15" s="21">
        <f t="shared" si="2"/>
        <v>7.25</v>
      </c>
      <c r="AA15" s="21">
        <f t="shared" si="10"/>
        <v>0</v>
      </c>
      <c r="AB15" s="20">
        <v>7.25</v>
      </c>
      <c r="AC15">
        <f t="shared" si="11"/>
        <v>7.25</v>
      </c>
    </row>
    <row r="16" spans="2:29" x14ac:dyDescent="0.2">
      <c r="B16" s="17">
        <v>46123</v>
      </c>
      <c r="C16" s="18" t="str">
        <f t="shared" si="5"/>
        <v>土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19"/>
      <c r="V16" s="2"/>
      <c r="W16" s="2"/>
      <c r="X16" s="2"/>
      <c r="Y16" s="20">
        <f t="shared" si="1"/>
        <v>0</v>
      </c>
      <c r="Z16" s="21">
        <f t="shared" si="2"/>
        <v>0</v>
      </c>
      <c r="AA16" s="21"/>
      <c r="AB16" s="20"/>
    </row>
    <row r="17" spans="2:29" x14ac:dyDescent="0.2">
      <c r="B17" s="17">
        <v>46124</v>
      </c>
      <c r="C17" s="18" t="str">
        <f t="shared" si="5"/>
        <v>日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19"/>
      <c r="V17" s="2"/>
      <c r="W17" s="2"/>
      <c r="X17" s="2"/>
      <c r="Y17" s="20">
        <f t="shared" si="1"/>
        <v>0</v>
      </c>
      <c r="Z17" s="21">
        <f t="shared" si="2"/>
        <v>0</v>
      </c>
      <c r="AA17" s="21"/>
      <c r="AB17" s="20"/>
    </row>
    <row r="18" spans="2:29" x14ac:dyDescent="0.2">
      <c r="B18" s="17">
        <v>46125</v>
      </c>
      <c r="C18" s="18" t="str">
        <f t="shared" si="5"/>
        <v>月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19"/>
      <c r="V18" s="2">
        <v>0.375</v>
      </c>
      <c r="W18" s="2">
        <v>0.72916666666666663</v>
      </c>
      <c r="X18" s="2">
        <v>5.2083333333333336E-2</v>
      </c>
      <c r="Y18" s="20">
        <f t="shared" si="1"/>
        <v>7.25</v>
      </c>
      <c r="Z18" s="21">
        <f t="shared" si="2"/>
        <v>7.25</v>
      </c>
      <c r="AA18" s="21">
        <f t="shared" ref="AA18:AA22" si="12">AC18-AB18</f>
        <v>0</v>
      </c>
      <c r="AB18" s="20">
        <v>7.25</v>
      </c>
      <c r="AC18">
        <f t="shared" ref="AC18:AC22" si="13">ABS(Y18)</f>
        <v>7.25</v>
      </c>
    </row>
    <row r="19" spans="2:29" x14ac:dyDescent="0.2">
      <c r="B19" s="17">
        <v>46126</v>
      </c>
      <c r="C19" s="18" t="str">
        <f t="shared" si="5"/>
        <v>火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19"/>
      <c r="V19" s="2">
        <v>0.375</v>
      </c>
      <c r="W19" s="2">
        <v>0.72916666666666663</v>
      </c>
      <c r="X19" s="2">
        <v>5.2083333333333336E-2</v>
      </c>
      <c r="Y19" s="20">
        <f t="shared" si="1"/>
        <v>7.25</v>
      </c>
      <c r="Z19" s="21">
        <f t="shared" si="2"/>
        <v>7.25</v>
      </c>
      <c r="AA19" s="21">
        <f t="shared" si="12"/>
        <v>0</v>
      </c>
      <c r="AB19" s="20">
        <v>7.25</v>
      </c>
      <c r="AC19">
        <f t="shared" si="13"/>
        <v>7.25</v>
      </c>
    </row>
    <row r="20" spans="2:29" x14ac:dyDescent="0.2">
      <c r="B20" s="17">
        <v>46127</v>
      </c>
      <c r="C20" s="18" t="str">
        <f t="shared" si="5"/>
        <v>水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19"/>
      <c r="V20" s="2">
        <v>0.375</v>
      </c>
      <c r="W20" s="2">
        <v>0.72916666666666663</v>
      </c>
      <c r="X20" s="2">
        <v>5.2083333333333336E-2</v>
      </c>
      <c r="Y20" s="20">
        <f t="shared" si="1"/>
        <v>7.25</v>
      </c>
      <c r="Z20" s="21">
        <f t="shared" si="2"/>
        <v>7.25</v>
      </c>
      <c r="AA20" s="21">
        <f t="shared" si="12"/>
        <v>0</v>
      </c>
      <c r="AB20" s="20">
        <v>7.25</v>
      </c>
      <c r="AC20">
        <f t="shared" si="13"/>
        <v>7.25</v>
      </c>
    </row>
    <row r="21" spans="2:29" x14ac:dyDescent="0.2">
      <c r="B21" s="17">
        <v>46128</v>
      </c>
      <c r="C21" s="18" t="str">
        <f t="shared" si="5"/>
        <v>木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19"/>
      <c r="V21" s="2">
        <v>0.375</v>
      </c>
      <c r="W21" s="2">
        <v>0.72916666666666663</v>
      </c>
      <c r="X21" s="2">
        <v>5.2083333333333336E-2</v>
      </c>
      <c r="Y21" s="20">
        <f t="shared" si="1"/>
        <v>7.25</v>
      </c>
      <c r="Z21" s="21">
        <f t="shared" si="2"/>
        <v>7.25</v>
      </c>
      <c r="AA21" s="21">
        <f t="shared" si="12"/>
        <v>0</v>
      </c>
      <c r="AB21" s="20">
        <v>7.25</v>
      </c>
      <c r="AC21">
        <f t="shared" si="13"/>
        <v>7.25</v>
      </c>
    </row>
    <row r="22" spans="2:29" x14ac:dyDescent="0.2">
      <c r="B22" s="17">
        <v>46129</v>
      </c>
      <c r="C22" s="18" t="str">
        <f t="shared" si="5"/>
        <v>金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19"/>
      <c r="V22" s="2">
        <v>0.375</v>
      </c>
      <c r="W22" s="2">
        <v>0.72916666666666663</v>
      </c>
      <c r="X22" s="2">
        <v>5.2083333333333336E-2</v>
      </c>
      <c r="Y22" s="20">
        <f t="shared" si="1"/>
        <v>7.25</v>
      </c>
      <c r="Z22" s="21">
        <f t="shared" si="2"/>
        <v>7.25</v>
      </c>
      <c r="AA22" s="21">
        <f t="shared" si="12"/>
        <v>0</v>
      </c>
      <c r="AB22" s="20">
        <v>7.25</v>
      </c>
      <c r="AC22">
        <f t="shared" si="13"/>
        <v>7.25</v>
      </c>
    </row>
    <row r="23" spans="2:29" x14ac:dyDescent="0.2">
      <c r="B23" s="17">
        <v>46130</v>
      </c>
      <c r="C23" s="18" t="str">
        <f t="shared" si="5"/>
        <v>土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19"/>
      <c r="V23" s="2"/>
      <c r="W23" s="2"/>
      <c r="X23" s="2"/>
      <c r="Y23" s="20">
        <f t="shared" si="1"/>
        <v>0</v>
      </c>
      <c r="Z23" s="21">
        <f t="shared" si="2"/>
        <v>0</v>
      </c>
      <c r="AA23" s="21"/>
      <c r="AB23" s="20"/>
    </row>
    <row r="24" spans="2:29" x14ac:dyDescent="0.2">
      <c r="B24" s="17">
        <v>46131</v>
      </c>
      <c r="C24" s="18" t="str">
        <f t="shared" si="5"/>
        <v>日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19"/>
      <c r="V24" s="2"/>
      <c r="W24" s="2"/>
      <c r="X24" s="2"/>
      <c r="Y24" s="20">
        <f t="shared" si="1"/>
        <v>0</v>
      </c>
      <c r="Z24" s="21">
        <f t="shared" si="2"/>
        <v>0</v>
      </c>
      <c r="AA24" s="21"/>
      <c r="AB24" s="20"/>
    </row>
    <row r="25" spans="2:29" x14ac:dyDescent="0.2">
      <c r="B25" s="17">
        <v>46132</v>
      </c>
      <c r="C25" s="18" t="str">
        <f t="shared" si="5"/>
        <v>月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19"/>
      <c r="V25" s="2">
        <v>0.375</v>
      </c>
      <c r="W25" s="2">
        <v>0.72916666666666663</v>
      </c>
      <c r="X25" s="2">
        <v>5.2083333333333336E-2</v>
      </c>
      <c r="Y25" s="20">
        <f t="shared" si="1"/>
        <v>7.25</v>
      </c>
      <c r="Z25" s="21">
        <f t="shared" si="2"/>
        <v>7.25</v>
      </c>
      <c r="AA25" s="21">
        <f t="shared" ref="AA25:AA29" si="14">AC25-AB25</f>
        <v>0</v>
      </c>
      <c r="AB25" s="20">
        <v>7.25</v>
      </c>
      <c r="AC25">
        <f t="shared" ref="AC25:AC29" si="15">ABS(Y25)</f>
        <v>7.25</v>
      </c>
    </row>
    <row r="26" spans="2:29" x14ac:dyDescent="0.2">
      <c r="B26" s="17">
        <v>46133</v>
      </c>
      <c r="C26" s="18" t="str">
        <f t="shared" si="5"/>
        <v>火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19"/>
      <c r="V26" s="2">
        <v>0.375</v>
      </c>
      <c r="W26" s="2">
        <v>0.72916666666666663</v>
      </c>
      <c r="X26" s="2">
        <v>5.2083333333333336E-2</v>
      </c>
      <c r="Y26" s="20">
        <f t="shared" si="1"/>
        <v>7.25</v>
      </c>
      <c r="Z26" s="21">
        <f t="shared" si="2"/>
        <v>7.25</v>
      </c>
      <c r="AA26" s="21">
        <f t="shared" si="14"/>
        <v>0</v>
      </c>
      <c r="AB26" s="20">
        <v>7.25</v>
      </c>
      <c r="AC26">
        <f t="shared" si="15"/>
        <v>7.25</v>
      </c>
    </row>
    <row r="27" spans="2:29" x14ac:dyDescent="0.2">
      <c r="B27" s="17">
        <v>46134</v>
      </c>
      <c r="C27" s="18" t="str">
        <f t="shared" si="5"/>
        <v>水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41"/>
      <c r="V27" s="2">
        <v>0.375</v>
      </c>
      <c r="W27" s="2">
        <v>0.72916666666666663</v>
      </c>
      <c r="X27" s="2">
        <v>5.2083333333333336E-2</v>
      </c>
      <c r="Y27" s="20">
        <f t="shared" si="1"/>
        <v>7.25</v>
      </c>
      <c r="Z27" s="21">
        <f t="shared" si="2"/>
        <v>7.25</v>
      </c>
      <c r="AA27" s="21">
        <f t="shared" si="14"/>
        <v>0</v>
      </c>
      <c r="AB27" s="20">
        <v>7.25</v>
      </c>
      <c r="AC27">
        <f t="shared" si="15"/>
        <v>7.25</v>
      </c>
    </row>
    <row r="28" spans="2:29" x14ac:dyDescent="0.2">
      <c r="B28" s="17">
        <v>46135</v>
      </c>
      <c r="C28" s="18" t="str">
        <f t="shared" si="5"/>
        <v>木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19"/>
      <c r="V28" s="2">
        <v>0.375</v>
      </c>
      <c r="W28" s="2">
        <v>0.72916666666666663</v>
      </c>
      <c r="X28" s="2">
        <v>5.2083333333333336E-2</v>
      </c>
      <c r="Y28" s="20">
        <f t="shared" si="1"/>
        <v>7.25</v>
      </c>
      <c r="Z28" s="21">
        <f t="shared" si="2"/>
        <v>7.25</v>
      </c>
      <c r="AA28" s="21">
        <f t="shared" si="14"/>
        <v>0</v>
      </c>
      <c r="AB28" s="20">
        <v>7.25</v>
      </c>
      <c r="AC28">
        <f t="shared" si="15"/>
        <v>7.25</v>
      </c>
    </row>
    <row r="29" spans="2:29" x14ac:dyDescent="0.2">
      <c r="B29" s="17">
        <v>46136</v>
      </c>
      <c r="C29" s="18" t="str">
        <f t="shared" si="5"/>
        <v>金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19"/>
      <c r="V29" s="2">
        <v>0.375</v>
      </c>
      <c r="W29" s="2">
        <v>0.72916666666666663</v>
      </c>
      <c r="X29" s="2">
        <v>5.2083333333333336E-2</v>
      </c>
      <c r="Y29" s="20">
        <f t="shared" si="1"/>
        <v>7.25</v>
      </c>
      <c r="Z29" s="21">
        <f t="shared" si="2"/>
        <v>7.25</v>
      </c>
      <c r="AA29" s="21">
        <f t="shared" si="14"/>
        <v>0</v>
      </c>
      <c r="AB29" s="20">
        <v>7.25</v>
      </c>
      <c r="AC29">
        <f t="shared" si="15"/>
        <v>7.25</v>
      </c>
    </row>
    <row r="30" spans="2:29" x14ac:dyDescent="0.2">
      <c r="B30" s="17">
        <v>46137</v>
      </c>
      <c r="C30" s="18" t="str">
        <f t="shared" si="5"/>
        <v>土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1"/>
      <c r="V30" s="2"/>
      <c r="W30" s="2"/>
      <c r="X30" s="2"/>
      <c r="Y30" s="20">
        <f t="shared" si="1"/>
        <v>0</v>
      </c>
      <c r="Z30" s="21">
        <f t="shared" si="2"/>
        <v>0</v>
      </c>
      <c r="AA30" s="21"/>
      <c r="AB30" s="20"/>
    </row>
    <row r="31" spans="2:29" x14ac:dyDescent="0.2">
      <c r="B31" s="17">
        <v>46138</v>
      </c>
      <c r="C31" s="18" t="str">
        <f t="shared" si="5"/>
        <v>日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41"/>
      <c r="V31" s="2"/>
      <c r="W31" s="2"/>
      <c r="X31" s="2"/>
      <c r="Y31" s="20">
        <f t="shared" si="1"/>
        <v>0</v>
      </c>
      <c r="Z31" s="21">
        <f t="shared" si="2"/>
        <v>0</v>
      </c>
      <c r="AA31" s="21"/>
      <c r="AB31" s="20"/>
    </row>
    <row r="32" spans="2:29" x14ac:dyDescent="0.2">
      <c r="B32" s="17">
        <v>46139</v>
      </c>
      <c r="C32" s="18" t="str">
        <f t="shared" si="5"/>
        <v>月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19"/>
      <c r="V32" s="2">
        <v>0.375</v>
      </c>
      <c r="W32" s="2">
        <v>0.72916666666666663</v>
      </c>
      <c r="X32" s="2">
        <v>5.2083333333333336E-2</v>
      </c>
      <c r="Y32" s="20">
        <f t="shared" si="1"/>
        <v>7.25</v>
      </c>
      <c r="Z32" s="21">
        <f t="shared" si="2"/>
        <v>7.25</v>
      </c>
      <c r="AA32" s="21">
        <f t="shared" ref="AA32:AA35" si="16">AC32-AB32</f>
        <v>0</v>
      </c>
      <c r="AB32" s="20">
        <v>7.25</v>
      </c>
      <c r="AC32">
        <f t="shared" ref="AC32:AC35" si="17">ABS(Y32)</f>
        <v>7.25</v>
      </c>
    </row>
    <row r="33" spans="2:29" x14ac:dyDescent="0.2">
      <c r="B33" s="17">
        <v>46140</v>
      </c>
      <c r="C33" s="18" t="str">
        <f t="shared" si="5"/>
        <v>火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41"/>
      <c r="V33" s="2">
        <v>0.375</v>
      </c>
      <c r="W33" s="2">
        <v>0.72916666666666663</v>
      </c>
      <c r="X33" s="2">
        <v>5.2083333333333336E-2</v>
      </c>
      <c r="Y33" s="20">
        <f t="shared" si="1"/>
        <v>7.25</v>
      </c>
      <c r="Z33" s="21">
        <f t="shared" si="2"/>
        <v>7.25</v>
      </c>
      <c r="AA33" s="21">
        <f t="shared" si="16"/>
        <v>0</v>
      </c>
      <c r="AB33" s="20">
        <v>7.25</v>
      </c>
      <c r="AC33">
        <f t="shared" si="17"/>
        <v>7.25</v>
      </c>
    </row>
    <row r="34" spans="2:29" x14ac:dyDescent="0.2">
      <c r="B34" s="17">
        <v>46141</v>
      </c>
      <c r="C34" s="18" t="str">
        <f t="shared" si="5"/>
        <v>水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39" t="s">
        <v>32</v>
      </c>
      <c r="V34" s="2"/>
      <c r="W34" s="2"/>
      <c r="X34" s="2"/>
      <c r="Y34" s="20">
        <f t="shared" si="1"/>
        <v>0</v>
      </c>
      <c r="Z34" s="21">
        <f t="shared" si="2"/>
        <v>0</v>
      </c>
      <c r="AA34" s="21"/>
      <c r="AB34" s="20"/>
    </row>
    <row r="35" spans="2:29" x14ac:dyDescent="0.2">
      <c r="B35" s="17">
        <v>46142</v>
      </c>
      <c r="C35" s="18" t="str">
        <f t="shared" si="5"/>
        <v>木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41"/>
      <c r="V35" s="2">
        <v>0.375</v>
      </c>
      <c r="W35" s="2">
        <v>0.72916666666666663</v>
      </c>
      <c r="X35" s="2">
        <v>5.2083333333333336E-2</v>
      </c>
      <c r="Y35" s="20">
        <f t="shared" si="1"/>
        <v>7.25</v>
      </c>
      <c r="Z35" s="21">
        <f t="shared" si="2"/>
        <v>7.25</v>
      </c>
      <c r="AA35" s="21">
        <f t="shared" si="16"/>
        <v>0</v>
      </c>
      <c r="AB35" s="20">
        <v>7.25</v>
      </c>
      <c r="AC35">
        <f t="shared" si="17"/>
        <v>7.25</v>
      </c>
    </row>
    <row r="36" spans="2:29" ht="13.8" thickBo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/>
      <c r="U36" s="27"/>
      <c r="V36" s="2"/>
      <c r="W36" s="2"/>
      <c r="X36" s="2"/>
      <c r="Y36" s="20"/>
      <c r="Z36" s="21"/>
      <c r="AA36" s="21"/>
      <c r="AB36" s="20"/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>SUM(E6:E36)</f>
        <v>0</v>
      </c>
      <c r="F37" s="22">
        <f t="shared" ref="F37:T37" si="18">SUM(F6:F36)</f>
        <v>0</v>
      </c>
      <c r="G37" s="22">
        <f t="shared" si="18"/>
        <v>0</v>
      </c>
      <c r="H37" s="22">
        <f t="shared" si="18"/>
        <v>0</v>
      </c>
      <c r="I37" s="22">
        <f t="shared" si="18"/>
        <v>0</v>
      </c>
      <c r="J37" s="22">
        <f t="shared" si="18"/>
        <v>0</v>
      </c>
      <c r="K37" s="22">
        <f t="shared" si="18"/>
        <v>0</v>
      </c>
      <c r="L37" s="22">
        <f t="shared" si="18"/>
        <v>0</v>
      </c>
      <c r="M37" s="22">
        <f t="shared" si="18"/>
        <v>0</v>
      </c>
      <c r="N37" s="22">
        <f t="shared" si="18"/>
        <v>0</v>
      </c>
      <c r="O37" s="22">
        <f t="shared" si="18"/>
        <v>0</v>
      </c>
      <c r="P37" s="22">
        <f t="shared" si="18"/>
        <v>0</v>
      </c>
      <c r="Q37" s="22">
        <f t="shared" si="18"/>
        <v>0</v>
      </c>
      <c r="R37" s="22">
        <f t="shared" si="18"/>
        <v>0</v>
      </c>
      <c r="S37" s="22">
        <f t="shared" si="18"/>
        <v>0</v>
      </c>
      <c r="T37" s="23">
        <f t="shared" si="18"/>
        <v>0</v>
      </c>
      <c r="U37" s="24"/>
      <c r="V37" s="2"/>
      <c r="AA37" s="21">
        <f>SUM(AA6:AA36)</f>
        <v>0</v>
      </c>
      <c r="AB37" s="21">
        <f>SUM(AB6:AB36)</f>
        <v>152.25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17"/>
      <c r="C41" s="18" t="str">
        <f t="shared" ref="C41:C45" si="19">TEXT(B41,"aaa")</f>
        <v>土</v>
      </c>
      <c r="D41" s="34"/>
      <c r="E41" s="34"/>
      <c r="F41" s="34"/>
      <c r="G41" s="34"/>
      <c r="H41" s="34"/>
      <c r="I41" s="34"/>
      <c r="J41" s="34"/>
      <c r="K41" s="34"/>
      <c r="L41" s="40"/>
      <c r="M41" s="34"/>
      <c r="N41" s="34"/>
      <c r="O41" s="34"/>
      <c r="P41" s="34"/>
      <c r="Q41" s="34"/>
      <c r="R41" s="34"/>
      <c r="S41" s="34"/>
      <c r="T41" s="34">
        <f t="shared" ref="T41:T45" si="20">SUM(D41:S41)</f>
        <v>0</v>
      </c>
      <c r="U41" s="40"/>
      <c r="W41" s="38"/>
    </row>
    <row r="42" spans="2:29" x14ac:dyDescent="0.2">
      <c r="B42" s="17"/>
      <c r="C42" s="18" t="str">
        <f t="shared" si="19"/>
        <v>土</v>
      </c>
      <c r="D42" s="34"/>
      <c r="E42" s="34"/>
      <c r="F42" s="34"/>
      <c r="G42" s="34"/>
      <c r="H42" s="34"/>
      <c r="I42" s="34"/>
      <c r="J42" s="34"/>
      <c r="K42" s="34"/>
      <c r="L42" s="40"/>
      <c r="M42" s="34"/>
      <c r="N42" s="34"/>
      <c r="O42" s="34"/>
      <c r="P42" s="34"/>
      <c r="Q42" s="34"/>
      <c r="R42" s="34"/>
      <c r="S42" s="34"/>
      <c r="T42" s="34">
        <f t="shared" si="20"/>
        <v>0</v>
      </c>
      <c r="U42" s="40"/>
      <c r="W42" s="38"/>
    </row>
    <row r="43" spans="2:29" x14ac:dyDescent="0.2">
      <c r="B43" s="17"/>
      <c r="C43" s="18" t="str">
        <f t="shared" si="19"/>
        <v>土</v>
      </c>
      <c r="D43" s="34"/>
      <c r="E43" s="34"/>
      <c r="F43" s="34"/>
      <c r="G43" s="34"/>
      <c r="H43" s="34"/>
      <c r="I43" s="34"/>
      <c r="J43" s="34"/>
      <c r="K43" s="34"/>
      <c r="L43" s="40"/>
      <c r="M43" s="34"/>
      <c r="N43" s="34"/>
      <c r="O43" s="34"/>
      <c r="P43" s="34"/>
      <c r="Q43" s="34"/>
      <c r="R43" s="34"/>
      <c r="S43" s="34"/>
      <c r="T43" s="34">
        <f t="shared" si="20"/>
        <v>0</v>
      </c>
      <c r="U43" s="40"/>
      <c r="W43" s="38"/>
    </row>
    <row r="44" spans="2:29" x14ac:dyDescent="0.2">
      <c r="B44" s="17"/>
      <c r="C44" s="18" t="str">
        <f t="shared" si="19"/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si="20"/>
        <v>0</v>
      </c>
      <c r="U44" s="40"/>
    </row>
    <row r="45" spans="2:29" x14ac:dyDescent="0.2">
      <c r="B45" s="17"/>
      <c r="C45" s="18" t="str">
        <f t="shared" si="19"/>
        <v>土</v>
      </c>
      <c r="D45" s="34"/>
      <c r="E45" s="34"/>
      <c r="F45" s="34"/>
      <c r="G45" s="34"/>
      <c r="H45" s="34"/>
      <c r="I45" s="34"/>
      <c r="J45" s="34"/>
      <c r="K45" s="34"/>
      <c r="L45" s="40"/>
      <c r="M45" s="34"/>
      <c r="N45" s="34"/>
      <c r="O45" s="34"/>
      <c r="P45" s="34"/>
      <c r="Q45" s="34"/>
      <c r="R45" s="34"/>
      <c r="S45" s="34"/>
      <c r="T45" s="34">
        <f t="shared" si="20"/>
        <v>0</v>
      </c>
      <c r="U45" s="40"/>
    </row>
    <row r="46" spans="2:29" x14ac:dyDescent="0.2">
      <c r="B46" s="54"/>
      <c r="C46" s="18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ref="T46" si="21">SUM(D46:S46)</f>
        <v>0</v>
      </c>
      <c r="U46" s="40"/>
    </row>
    <row r="47" spans="2:29" x14ac:dyDescent="0.2">
      <c r="B47" s="54"/>
      <c r="C47" s="18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40"/>
    </row>
    <row r="48" spans="2:29" x14ac:dyDescent="0.2">
      <c r="B48" s="17"/>
      <c r="C48" s="18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40"/>
    </row>
    <row r="49" spans="2:21" ht="13.8" thickBot="1" x14ac:dyDescent="0.25">
      <c r="B49" s="25"/>
      <c r="C49" s="2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42"/>
    </row>
    <row r="50" spans="2:21" ht="13.8" thickTop="1" x14ac:dyDescent="0.2">
      <c r="B50" s="29" t="s">
        <v>21</v>
      </c>
      <c r="C50" s="22" t="s">
        <v>0</v>
      </c>
      <c r="D50" s="22">
        <f t="shared" ref="D50:T50" si="22">SUM(D41:D49)</f>
        <v>0</v>
      </c>
      <c r="E50" s="22"/>
      <c r="F50" s="22">
        <f t="shared" si="22"/>
        <v>0</v>
      </c>
      <c r="G50" s="22">
        <f t="shared" si="22"/>
        <v>0</v>
      </c>
      <c r="H50" s="22">
        <f t="shared" si="22"/>
        <v>0</v>
      </c>
      <c r="I50" s="22">
        <f t="shared" si="22"/>
        <v>0</v>
      </c>
      <c r="J50" s="22">
        <f t="shared" si="22"/>
        <v>0</v>
      </c>
      <c r="K50" s="22">
        <f t="shared" si="22"/>
        <v>0</v>
      </c>
      <c r="L50" s="22">
        <f>SUM(L41:L49)</f>
        <v>0</v>
      </c>
      <c r="M50" s="22">
        <f t="shared" si="22"/>
        <v>0</v>
      </c>
      <c r="N50" s="22">
        <f t="shared" si="22"/>
        <v>0</v>
      </c>
      <c r="O50" s="22">
        <f t="shared" si="22"/>
        <v>0</v>
      </c>
      <c r="P50" s="22">
        <f t="shared" si="22"/>
        <v>0</v>
      </c>
      <c r="Q50" s="22">
        <f t="shared" si="22"/>
        <v>0</v>
      </c>
      <c r="R50" s="22">
        <f t="shared" si="22"/>
        <v>0</v>
      </c>
      <c r="S50" s="22">
        <f t="shared" si="22"/>
        <v>0</v>
      </c>
      <c r="T50" s="22">
        <f t="shared" si="22"/>
        <v>0</v>
      </c>
      <c r="U50" s="43"/>
    </row>
  </sheetData>
  <phoneticPr fontId="1"/>
  <conditionalFormatting sqref="Z6:Z36">
    <cfRule type="cellIs" dxfId="12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AC50"/>
  <sheetViews>
    <sheetView topLeftCell="B1" zoomScale="70" zoomScaleNormal="70" workbookViewId="0">
      <pane xSplit="2" ySplit="5" topLeftCell="D6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B1" sqref="B1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61"/>
      <c r="G1" s="61"/>
      <c r="I1" s="61"/>
      <c r="K1" s="38"/>
      <c r="M1" s="38"/>
      <c r="R1" s="33"/>
    </row>
    <row r="2" spans="2:29" ht="39.6" x14ac:dyDescent="0.2">
      <c r="B2" s="15" t="s">
        <v>6</v>
      </c>
      <c r="C2" s="11"/>
      <c r="D2" s="16"/>
      <c r="E2" s="16"/>
      <c r="F2" s="63"/>
      <c r="G2" s="63"/>
      <c r="H2" s="16"/>
      <c r="I2" s="64"/>
      <c r="J2" s="16"/>
      <c r="K2" s="16"/>
      <c r="L2" s="16"/>
      <c r="M2" s="16"/>
      <c r="N2" s="16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13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/>
      <c r="Q3" s="13"/>
      <c r="R3" s="13"/>
      <c r="S3" s="13" t="str">
        <f>IF(ISERROR(VLOOKUP(S2,件番!$A$3:$D$113,2,FALSE)),"",(VLOOKUP(S2,件番!$A$3:$D$113,2,FALSE)))</f>
        <v>2032B1008</v>
      </c>
      <c r="T3" s="13"/>
      <c r="U3" s="13"/>
    </row>
    <row r="4" spans="2:29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13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/>
      <c r="Q4" s="13"/>
      <c r="R4" s="13"/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13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/>
      <c r="Q5" s="13"/>
      <c r="R5" s="13"/>
      <c r="S5" s="13">
        <f>IF(ISERROR(VLOOKUP(S2,件番!$A$3:$D$113,2,FALSE)),"",(VLOOKUP(S2,件番!$A$3:$D$113,4,FALSE)))</f>
        <v>0</v>
      </c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46143</v>
      </c>
      <c r="C6" s="18" t="str">
        <f>TEXT(B6,"aaa")</f>
        <v>金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6" si="0">SUM(D6:S6)</f>
        <v>0</v>
      </c>
      <c r="U6" s="41"/>
      <c r="V6" s="2">
        <v>0.375</v>
      </c>
      <c r="W6" s="2">
        <v>0.72916666666666663</v>
      </c>
      <c r="X6" s="2">
        <v>5.2083333333333336E-2</v>
      </c>
      <c r="Y6" s="20">
        <f t="shared" ref="Y6" si="1">(W6-V6-X6)*24</f>
        <v>7.25</v>
      </c>
      <c r="Z6" s="21">
        <f t="shared" ref="Z6" si="2">Y6-T6</f>
        <v>7.25</v>
      </c>
      <c r="AA6" s="21">
        <f t="shared" ref="AA6" si="3">AC6-AB6</f>
        <v>0</v>
      </c>
      <c r="AB6" s="20">
        <v>7.25</v>
      </c>
      <c r="AC6">
        <f t="shared" ref="AC6" si="4">ABS(Y6)</f>
        <v>7.25</v>
      </c>
    </row>
    <row r="7" spans="2:29" x14ac:dyDescent="0.2">
      <c r="B7" s="17">
        <v>46144</v>
      </c>
      <c r="C7" s="18" t="str">
        <f t="shared" ref="C7:C36" si="5">TEXT(B7,"aaa")</f>
        <v>土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41"/>
      <c r="V7" s="2"/>
      <c r="W7" s="2"/>
      <c r="X7" s="2"/>
      <c r="Y7" s="20">
        <f t="shared" ref="Y7:Y36" si="6">(W7-V7-X7)*24</f>
        <v>0</v>
      </c>
      <c r="Z7" s="21">
        <f t="shared" ref="Z7:Z36" si="7">Y7-T7</f>
        <v>0</v>
      </c>
      <c r="AA7" s="21"/>
      <c r="AB7" s="20"/>
    </row>
    <row r="8" spans="2:29" x14ac:dyDescent="0.2">
      <c r="B8" s="17">
        <v>46145</v>
      </c>
      <c r="C8" s="18" t="str">
        <f t="shared" si="5"/>
        <v>日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39" t="s">
        <v>24</v>
      </c>
      <c r="V8" s="2"/>
      <c r="W8" s="2"/>
      <c r="X8" s="2"/>
      <c r="Y8" s="20">
        <f t="shared" si="6"/>
        <v>0</v>
      </c>
      <c r="Z8" s="21">
        <f t="shared" si="7"/>
        <v>0</v>
      </c>
      <c r="AA8" s="21"/>
      <c r="AB8" s="20"/>
    </row>
    <row r="9" spans="2:29" x14ac:dyDescent="0.2">
      <c r="B9" s="17">
        <v>46146</v>
      </c>
      <c r="C9" s="18" t="str">
        <f t="shared" si="5"/>
        <v>月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47" t="s">
        <v>25</v>
      </c>
      <c r="V9" s="2"/>
      <c r="W9" s="2"/>
      <c r="X9" s="2"/>
      <c r="Y9" s="20">
        <f t="shared" si="6"/>
        <v>0</v>
      </c>
      <c r="Z9" s="21">
        <f t="shared" si="7"/>
        <v>0</v>
      </c>
      <c r="AA9" s="21"/>
      <c r="AB9" s="20"/>
    </row>
    <row r="10" spans="2:29" x14ac:dyDescent="0.2">
      <c r="B10" s="17">
        <v>46147</v>
      </c>
      <c r="C10" s="18" t="str">
        <f t="shared" si="5"/>
        <v>火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47" t="s">
        <v>26</v>
      </c>
      <c r="V10" s="2"/>
      <c r="W10" s="2"/>
      <c r="X10" s="2"/>
      <c r="Y10" s="20">
        <f t="shared" si="6"/>
        <v>0</v>
      </c>
      <c r="Z10" s="21">
        <f t="shared" si="7"/>
        <v>0</v>
      </c>
      <c r="AA10" s="21"/>
      <c r="AB10" s="20"/>
    </row>
    <row r="11" spans="2:29" x14ac:dyDescent="0.2">
      <c r="B11" s="17">
        <v>46148</v>
      </c>
      <c r="C11" s="18" t="str">
        <f t="shared" si="5"/>
        <v>水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39" t="s">
        <v>109</v>
      </c>
      <c r="V11" s="2"/>
      <c r="W11" s="2"/>
      <c r="X11" s="2"/>
      <c r="Y11" s="20">
        <f t="shared" si="6"/>
        <v>0</v>
      </c>
      <c r="Z11" s="21">
        <f t="shared" si="7"/>
        <v>0</v>
      </c>
      <c r="AA11" s="21"/>
      <c r="AB11" s="20"/>
    </row>
    <row r="12" spans="2:29" x14ac:dyDescent="0.2">
      <c r="B12" s="17">
        <v>46149</v>
      </c>
      <c r="C12" s="18" t="str">
        <f t="shared" si="5"/>
        <v>木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41"/>
      <c r="V12" s="2">
        <v>0.375</v>
      </c>
      <c r="W12" s="2">
        <v>0.72916666666666663</v>
      </c>
      <c r="X12" s="2">
        <v>5.2083333333333336E-2</v>
      </c>
      <c r="Y12" s="20">
        <f t="shared" si="6"/>
        <v>7.25</v>
      </c>
      <c r="Z12" s="21">
        <f t="shared" si="7"/>
        <v>7.25</v>
      </c>
      <c r="AA12" s="21">
        <f t="shared" ref="AA12:AA13" si="8">AC12-AB12</f>
        <v>0</v>
      </c>
      <c r="AB12" s="20">
        <v>7.25</v>
      </c>
      <c r="AC12">
        <f t="shared" ref="AC12:AC13" si="9">ABS(Y12)</f>
        <v>7.25</v>
      </c>
    </row>
    <row r="13" spans="2:29" x14ac:dyDescent="0.2">
      <c r="B13" s="17">
        <v>46150</v>
      </c>
      <c r="C13" s="18" t="str">
        <f t="shared" si="5"/>
        <v>金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19"/>
      <c r="V13" s="2">
        <v>0.375</v>
      </c>
      <c r="W13" s="2">
        <v>0.72916666666666663</v>
      </c>
      <c r="X13" s="2">
        <v>5.2083333333333336E-2</v>
      </c>
      <c r="Y13" s="20">
        <f t="shared" si="6"/>
        <v>7.25</v>
      </c>
      <c r="Z13" s="21">
        <f t="shared" si="7"/>
        <v>7.25</v>
      </c>
      <c r="AA13" s="21">
        <f t="shared" si="8"/>
        <v>0</v>
      </c>
      <c r="AB13" s="20">
        <v>7.25</v>
      </c>
      <c r="AC13">
        <f t="shared" si="9"/>
        <v>7.25</v>
      </c>
    </row>
    <row r="14" spans="2:29" x14ac:dyDescent="0.2">
      <c r="B14" s="17">
        <v>46151</v>
      </c>
      <c r="C14" s="18" t="str">
        <f t="shared" si="5"/>
        <v>土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19"/>
      <c r="V14" s="2"/>
      <c r="W14" s="2"/>
      <c r="X14" s="2"/>
      <c r="Y14" s="20">
        <f t="shared" si="6"/>
        <v>0</v>
      </c>
      <c r="Z14" s="21">
        <f t="shared" si="7"/>
        <v>0</v>
      </c>
      <c r="AA14" s="21"/>
      <c r="AB14" s="20"/>
    </row>
    <row r="15" spans="2:29" x14ac:dyDescent="0.2">
      <c r="B15" s="17">
        <v>46152</v>
      </c>
      <c r="C15" s="18" t="str">
        <f t="shared" si="5"/>
        <v>日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19"/>
      <c r="V15" s="2"/>
      <c r="W15" s="2"/>
      <c r="X15" s="2"/>
      <c r="Y15" s="20">
        <f t="shared" si="6"/>
        <v>0</v>
      </c>
      <c r="Z15" s="21">
        <f t="shared" si="7"/>
        <v>0</v>
      </c>
      <c r="AA15" s="21"/>
      <c r="AB15" s="20"/>
    </row>
    <row r="16" spans="2:29" x14ac:dyDescent="0.2">
      <c r="B16" s="17">
        <v>46153</v>
      </c>
      <c r="C16" s="18" t="str">
        <f t="shared" si="5"/>
        <v>月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19"/>
      <c r="V16" s="2">
        <v>0.375</v>
      </c>
      <c r="W16" s="2">
        <v>0.72916666666666663</v>
      </c>
      <c r="X16" s="2">
        <v>5.2083333333333336E-2</v>
      </c>
      <c r="Y16" s="20">
        <f t="shared" si="6"/>
        <v>7.25</v>
      </c>
      <c r="Z16" s="21">
        <f t="shared" si="7"/>
        <v>7.25</v>
      </c>
      <c r="AA16" s="21">
        <f t="shared" ref="AA16:AA20" si="10">AC16-AB16</f>
        <v>0</v>
      </c>
      <c r="AB16" s="20">
        <v>7.25</v>
      </c>
      <c r="AC16">
        <f t="shared" ref="AC16:AC20" si="11">ABS(Y16)</f>
        <v>7.25</v>
      </c>
    </row>
    <row r="17" spans="2:29" x14ac:dyDescent="0.2">
      <c r="B17" s="17">
        <v>46154</v>
      </c>
      <c r="C17" s="18" t="str">
        <f t="shared" si="5"/>
        <v>火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44"/>
      <c r="V17" s="2">
        <v>0.375</v>
      </c>
      <c r="W17" s="2">
        <v>0.72916666666666663</v>
      </c>
      <c r="X17" s="2">
        <v>5.2083333333333336E-2</v>
      </c>
      <c r="Y17" s="20">
        <f t="shared" si="6"/>
        <v>7.25</v>
      </c>
      <c r="Z17" s="21">
        <f t="shared" si="7"/>
        <v>7.25</v>
      </c>
      <c r="AA17" s="21">
        <f t="shared" si="10"/>
        <v>0</v>
      </c>
      <c r="AB17" s="20">
        <v>7.25</v>
      </c>
      <c r="AC17">
        <f t="shared" si="11"/>
        <v>7.25</v>
      </c>
    </row>
    <row r="18" spans="2:29" ht="13.2" customHeight="1" x14ac:dyDescent="0.2">
      <c r="B18" s="17">
        <v>46155</v>
      </c>
      <c r="C18" s="18" t="str">
        <f t="shared" si="5"/>
        <v>水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19"/>
      <c r="V18" s="2">
        <v>0.375</v>
      </c>
      <c r="W18" s="2">
        <v>0.72916666666666663</v>
      </c>
      <c r="X18" s="2">
        <v>5.2083333333333336E-2</v>
      </c>
      <c r="Y18" s="20">
        <f t="shared" si="6"/>
        <v>7.25</v>
      </c>
      <c r="Z18" s="21">
        <f t="shared" si="7"/>
        <v>7.25</v>
      </c>
      <c r="AA18" s="21">
        <f t="shared" si="10"/>
        <v>0</v>
      </c>
      <c r="AB18" s="20">
        <v>7.25</v>
      </c>
      <c r="AC18">
        <f t="shared" si="11"/>
        <v>7.25</v>
      </c>
    </row>
    <row r="19" spans="2:29" x14ac:dyDescent="0.2">
      <c r="B19" s="17">
        <v>46156</v>
      </c>
      <c r="C19" s="18" t="str">
        <f t="shared" si="5"/>
        <v>木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19"/>
      <c r="V19" s="2">
        <v>0.375</v>
      </c>
      <c r="W19" s="2">
        <v>0.72916666666666663</v>
      </c>
      <c r="X19" s="2">
        <v>5.2083333333333336E-2</v>
      </c>
      <c r="Y19" s="20">
        <f t="shared" si="6"/>
        <v>7.25</v>
      </c>
      <c r="Z19" s="21">
        <f t="shared" si="7"/>
        <v>7.25</v>
      </c>
      <c r="AA19" s="21">
        <f t="shared" si="10"/>
        <v>0</v>
      </c>
      <c r="AB19" s="20">
        <v>7.25</v>
      </c>
      <c r="AC19">
        <f t="shared" si="11"/>
        <v>7.25</v>
      </c>
    </row>
    <row r="20" spans="2:29" x14ac:dyDescent="0.2">
      <c r="B20" s="17">
        <v>46157</v>
      </c>
      <c r="C20" s="18" t="str">
        <f t="shared" si="5"/>
        <v>金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19"/>
      <c r="V20" s="2">
        <v>0.375</v>
      </c>
      <c r="W20" s="2">
        <v>0.72916666666666663</v>
      </c>
      <c r="X20" s="2">
        <v>5.2083333333333336E-2</v>
      </c>
      <c r="Y20" s="20">
        <f t="shared" si="6"/>
        <v>7.25</v>
      </c>
      <c r="Z20" s="21">
        <f t="shared" si="7"/>
        <v>7.25</v>
      </c>
      <c r="AA20" s="21">
        <f t="shared" si="10"/>
        <v>0</v>
      </c>
      <c r="AB20" s="20">
        <v>7.25</v>
      </c>
      <c r="AC20">
        <f t="shared" si="11"/>
        <v>7.25</v>
      </c>
    </row>
    <row r="21" spans="2:29" x14ac:dyDescent="0.2">
      <c r="B21" s="17">
        <v>46158</v>
      </c>
      <c r="C21" s="18" t="str">
        <f t="shared" si="5"/>
        <v>土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19"/>
      <c r="V21" s="2"/>
      <c r="W21" s="2"/>
      <c r="X21" s="2"/>
      <c r="Y21" s="20">
        <f t="shared" si="6"/>
        <v>0</v>
      </c>
      <c r="Z21" s="21">
        <f t="shared" si="7"/>
        <v>0</v>
      </c>
      <c r="AA21" s="21"/>
      <c r="AB21" s="20"/>
    </row>
    <row r="22" spans="2:29" x14ac:dyDescent="0.2">
      <c r="B22" s="17">
        <v>46159</v>
      </c>
      <c r="C22" s="18" t="str">
        <f t="shared" si="5"/>
        <v>日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19"/>
      <c r="V22" s="2"/>
      <c r="W22" s="2"/>
      <c r="X22" s="2"/>
      <c r="Y22" s="20">
        <f t="shared" si="6"/>
        <v>0</v>
      </c>
      <c r="Z22" s="21">
        <f t="shared" si="7"/>
        <v>0</v>
      </c>
      <c r="AA22" s="21"/>
      <c r="AB22" s="20"/>
    </row>
    <row r="23" spans="2:29" x14ac:dyDescent="0.2">
      <c r="B23" s="17">
        <v>46160</v>
      </c>
      <c r="C23" s="18" t="str">
        <f t="shared" si="5"/>
        <v>月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19"/>
      <c r="V23" s="2">
        <v>0.375</v>
      </c>
      <c r="W23" s="2">
        <v>0.72916666666666663</v>
      </c>
      <c r="X23" s="2">
        <v>5.2083333333333336E-2</v>
      </c>
      <c r="Y23" s="20">
        <f t="shared" si="6"/>
        <v>7.25</v>
      </c>
      <c r="Z23" s="21">
        <f t="shared" si="7"/>
        <v>7.25</v>
      </c>
      <c r="AA23" s="21">
        <f t="shared" ref="AA23:AA27" si="12">AC23-AB23</f>
        <v>0</v>
      </c>
      <c r="AB23" s="20">
        <v>7.25</v>
      </c>
      <c r="AC23">
        <f t="shared" ref="AC23:AC27" si="13">ABS(Y23)</f>
        <v>7.25</v>
      </c>
    </row>
    <row r="24" spans="2:29" x14ac:dyDescent="0.2">
      <c r="B24" s="17">
        <v>46161</v>
      </c>
      <c r="C24" s="18" t="str">
        <f t="shared" si="5"/>
        <v>火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19"/>
      <c r="V24" s="2">
        <v>0.375</v>
      </c>
      <c r="W24" s="2">
        <v>0.72916666666666663</v>
      </c>
      <c r="X24" s="2">
        <v>5.2083333333333336E-2</v>
      </c>
      <c r="Y24" s="20">
        <f t="shared" si="6"/>
        <v>7.25</v>
      </c>
      <c r="Z24" s="21">
        <f t="shared" si="7"/>
        <v>7.25</v>
      </c>
      <c r="AA24" s="21">
        <f t="shared" si="12"/>
        <v>0</v>
      </c>
      <c r="AB24" s="20">
        <v>7.25</v>
      </c>
      <c r="AC24">
        <f t="shared" si="13"/>
        <v>7.25</v>
      </c>
    </row>
    <row r="25" spans="2:29" x14ac:dyDescent="0.2">
      <c r="B25" s="17">
        <v>46162</v>
      </c>
      <c r="C25" s="18" t="str">
        <f t="shared" si="5"/>
        <v>水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19"/>
      <c r="V25" s="2">
        <v>0.375</v>
      </c>
      <c r="W25" s="2">
        <v>0.72916666666666663</v>
      </c>
      <c r="X25" s="2">
        <v>5.2083333333333336E-2</v>
      </c>
      <c r="Y25" s="20">
        <f t="shared" si="6"/>
        <v>7.25</v>
      </c>
      <c r="Z25" s="21">
        <f t="shared" si="7"/>
        <v>7.25</v>
      </c>
      <c r="AA25" s="21">
        <f t="shared" si="12"/>
        <v>0</v>
      </c>
      <c r="AB25" s="20">
        <v>7.25</v>
      </c>
      <c r="AC25">
        <f t="shared" si="13"/>
        <v>7.25</v>
      </c>
    </row>
    <row r="26" spans="2:29" x14ac:dyDescent="0.2">
      <c r="B26" s="17">
        <v>46163</v>
      </c>
      <c r="C26" s="18" t="str">
        <f t="shared" si="5"/>
        <v>木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19"/>
      <c r="V26" s="2">
        <v>0.375</v>
      </c>
      <c r="W26" s="2">
        <v>0.72916666666666663</v>
      </c>
      <c r="X26" s="2">
        <v>5.2083333333333336E-2</v>
      </c>
      <c r="Y26" s="20">
        <f t="shared" si="6"/>
        <v>7.25</v>
      </c>
      <c r="Z26" s="21">
        <f t="shared" si="7"/>
        <v>7.25</v>
      </c>
      <c r="AA26" s="21">
        <f t="shared" si="12"/>
        <v>0</v>
      </c>
      <c r="AB26" s="20">
        <v>7.25</v>
      </c>
      <c r="AC26">
        <f t="shared" si="13"/>
        <v>7.25</v>
      </c>
    </row>
    <row r="27" spans="2:29" x14ac:dyDescent="0.2">
      <c r="B27" s="17">
        <v>46164</v>
      </c>
      <c r="C27" s="18" t="str">
        <f t="shared" si="5"/>
        <v>金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19"/>
      <c r="V27" s="2">
        <v>0.375</v>
      </c>
      <c r="W27" s="2">
        <v>0.72916666666666663</v>
      </c>
      <c r="X27" s="2">
        <v>5.2083333333333336E-2</v>
      </c>
      <c r="Y27" s="20">
        <f t="shared" si="6"/>
        <v>7.25</v>
      </c>
      <c r="Z27" s="21">
        <f t="shared" si="7"/>
        <v>7.25</v>
      </c>
      <c r="AA27" s="21">
        <f t="shared" si="12"/>
        <v>0</v>
      </c>
      <c r="AB27" s="20">
        <v>7.25</v>
      </c>
      <c r="AC27">
        <f t="shared" si="13"/>
        <v>7.25</v>
      </c>
    </row>
    <row r="28" spans="2:29" x14ac:dyDescent="0.2">
      <c r="B28" s="17">
        <v>46165</v>
      </c>
      <c r="C28" s="18" t="str">
        <f t="shared" si="5"/>
        <v>土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41"/>
      <c r="V28" s="2"/>
      <c r="W28" s="2"/>
      <c r="X28" s="2"/>
      <c r="Y28" s="20">
        <f t="shared" si="6"/>
        <v>0</v>
      </c>
      <c r="Z28" s="21">
        <f t="shared" si="7"/>
        <v>0</v>
      </c>
      <c r="AA28" s="21"/>
      <c r="AB28" s="20"/>
    </row>
    <row r="29" spans="2:29" x14ac:dyDescent="0.2">
      <c r="B29" s="17">
        <v>46166</v>
      </c>
      <c r="C29" s="18" t="str">
        <f t="shared" si="5"/>
        <v>日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44"/>
      <c r="V29" s="2"/>
      <c r="W29" s="2"/>
      <c r="X29" s="2"/>
      <c r="Y29" s="20">
        <f t="shared" si="6"/>
        <v>0</v>
      </c>
      <c r="Z29" s="21">
        <f t="shared" si="7"/>
        <v>0</v>
      </c>
      <c r="AA29" s="21"/>
      <c r="AB29" s="20"/>
    </row>
    <row r="30" spans="2:29" x14ac:dyDescent="0.2">
      <c r="B30" s="17">
        <v>46167</v>
      </c>
      <c r="C30" s="18" t="str">
        <f t="shared" si="5"/>
        <v>月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4"/>
      <c r="V30" s="2">
        <v>0.375</v>
      </c>
      <c r="W30" s="2">
        <v>0.72916666666666663</v>
      </c>
      <c r="X30" s="2">
        <v>5.2083333333333336E-2</v>
      </c>
      <c r="Y30" s="20">
        <f t="shared" si="6"/>
        <v>7.25</v>
      </c>
      <c r="Z30" s="21">
        <f t="shared" si="7"/>
        <v>7.25</v>
      </c>
      <c r="AA30" s="21">
        <f t="shared" ref="AA30:AA34" si="14">AC30-AB30</f>
        <v>0</v>
      </c>
      <c r="AB30" s="20">
        <v>7.25</v>
      </c>
      <c r="AC30">
        <f t="shared" ref="AC30:AC34" si="15">ABS(Y30)</f>
        <v>7.25</v>
      </c>
    </row>
    <row r="31" spans="2:29" x14ac:dyDescent="0.2">
      <c r="B31" s="17">
        <v>46168</v>
      </c>
      <c r="C31" s="18" t="str">
        <f t="shared" si="5"/>
        <v>火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19"/>
      <c r="V31" s="2">
        <v>0.375</v>
      </c>
      <c r="W31" s="2">
        <v>0.72916666666666663</v>
      </c>
      <c r="X31" s="2">
        <v>5.2083333333333336E-2</v>
      </c>
      <c r="Y31" s="20">
        <f t="shared" si="6"/>
        <v>7.25</v>
      </c>
      <c r="Z31" s="21">
        <f t="shared" si="7"/>
        <v>7.25</v>
      </c>
      <c r="AA31" s="21">
        <f t="shared" si="14"/>
        <v>0</v>
      </c>
      <c r="AB31" s="20">
        <v>7.25</v>
      </c>
      <c r="AC31">
        <f t="shared" si="15"/>
        <v>7.25</v>
      </c>
    </row>
    <row r="32" spans="2:29" x14ac:dyDescent="0.2">
      <c r="B32" s="17">
        <v>46169</v>
      </c>
      <c r="C32" s="18" t="str">
        <f t="shared" si="5"/>
        <v>水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41"/>
      <c r="V32" s="2">
        <v>0.375</v>
      </c>
      <c r="W32" s="2">
        <v>0.72916666666666663</v>
      </c>
      <c r="X32" s="2">
        <v>5.2083333333333336E-2</v>
      </c>
      <c r="Y32" s="20">
        <f t="shared" si="6"/>
        <v>7.25</v>
      </c>
      <c r="Z32" s="21">
        <f t="shared" si="7"/>
        <v>7.25</v>
      </c>
      <c r="AA32" s="21">
        <f t="shared" si="14"/>
        <v>0</v>
      </c>
      <c r="AB32" s="20">
        <v>7.25</v>
      </c>
      <c r="AC32">
        <f t="shared" si="15"/>
        <v>7.25</v>
      </c>
    </row>
    <row r="33" spans="2:29" x14ac:dyDescent="0.2">
      <c r="B33" s="17">
        <v>46170</v>
      </c>
      <c r="C33" s="18" t="str">
        <f t="shared" si="5"/>
        <v>木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19"/>
      <c r="V33" s="2">
        <v>0.375</v>
      </c>
      <c r="W33" s="2">
        <v>0.72916666666666663</v>
      </c>
      <c r="X33" s="2">
        <v>5.2083333333333336E-2</v>
      </c>
      <c r="Y33" s="20">
        <f t="shared" si="6"/>
        <v>7.25</v>
      </c>
      <c r="Z33" s="21">
        <f t="shared" si="7"/>
        <v>7.25</v>
      </c>
      <c r="AA33" s="21">
        <f t="shared" si="14"/>
        <v>0</v>
      </c>
      <c r="AB33" s="20">
        <v>7.25</v>
      </c>
      <c r="AC33">
        <f t="shared" si="15"/>
        <v>7.25</v>
      </c>
    </row>
    <row r="34" spans="2:29" x14ac:dyDescent="0.2">
      <c r="B34" s="17">
        <v>46171</v>
      </c>
      <c r="C34" s="18" t="str">
        <f t="shared" si="5"/>
        <v>金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19"/>
      <c r="V34" s="2">
        <v>0.375</v>
      </c>
      <c r="W34" s="2">
        <v>0.72916666666666663</v>
      </c>
      <c r="X34" s="2">
        <v>5.2083333333333336E-2</v>
      </c>
      <c r="Y34" s="20">
        <f t="shared" si="6"/>
        <v>7.25</v>
      </c>
      <c r="Z34" s="21">
        <f t="shared" si="7"/>
        <v>7.25</v>
      </c>
      <c r="AA34" s="21">
        <f t="shared" si="14"/>
        <v>0</v>
      </c>
      <c r="AB34" s="20">
        <v>7.25</v>
      </c>
      <c r="AC34">
        <f t="shared" si="15"/>
        <v>7.25</v>
      </c>
    </row>
    <row r="35" spans="2:29" x14ac:dyDescent="0.2">
      <c r="B35" s="17">
        <v>46172</v>
      </c>
      <c r="C35" s="18" t="str">
        <f t="shared" si="5"/>
        <v>土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19"/>
      <c r="V35" s="2"/>
      <c r="W35" s="2"/>
      <c r="X35" s="2"/>
      <c r="Y35" s="20">
        <f t="shared" si="6"/>
        <v>0</v>
      </c>
      <c r="Z35" s="21">
        <f t="shared" si="7"/>
        <v>0</v>
      </c>
      <c r="AA35" s="21"/>
      <c r="AB35" s="20"/>
    </row>
    <row r="36" spans="2:29" ht="13.8" thickBot="1" x14ac:dyDescent="0.25">
      <c r="B36" s="25">
        <v>46173</v>
      </c>
      <c r="C36" s="26" t="str">
        <f t="shared" si="5"/>
        <v>日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>
        <f t="shared" si="0"/>
        <v>0</v>
      </c>
      <c r="U36" s="27"/>
      <c r="V36" s="2"/>
      <c r="W36" s="2"/>
      <c r="X36" s="2"/>
      <c r="Y36" s="20">
        <f t="shared" si="6"/>
        <v>0</v>
      </c>
      <c r="Z36" s="21">
        <f t="shared" si="7"/>
        <v>0</v>
      </c>
      <c r="AA36" s="21"/>
      <c r="AB36" s="20"/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T37" si="16">SUM(E6:E36)</f>
        <v>0</v>
      </c>
      <c r="F37" s="22">
        <f t="shared" si="16"/>
        <v>0</v>
      </c>
      <c r="G37" s="22">
        <f t="shared" si="16"/>
        <v>0</v>
      </c>
      <c r="H37" s="22">
        <f t="shared" si="16"/>
        <v>0</v>
      </c>
      <c r="I37" s="22">
        <f t="shared" si="16"/>
        <v>0</v>
      </c>
      <c r="J37" s="22">
        <f t="shared" si="16"/>
        <v>0</v>
      </c>
      <c r="K37" s="22">
        <f t="shared" si="16"/>
        <v>0</v>
      </c>
      <c r="L37" s="22">
        <f t="shared" si="16"/>
        <v>0</v>
      </c>
      <c r="M37" s="22">
        <f t="shared" si="16"/>
        <v>0</v>
      </c>
      <c r="N37" s="22">
        <f t="shared" si="16"/>
        <v>0</v>
      </c>
      <c r="O37" s="22">
        <f t="shared" si="16"/>
        <v>0</v>
      </c>
      <c r="P37" s="22">
        <f t="shared" si="16"/>
        <v>0</v>
      </c>
      <c r="Q37" s="22">
        <f t="shared" si="16"/>
        <v>0</v>
      </c>
      <c r="R37" s="22">
        <f t="shared" si="16"/>
        <v>0</v>
      </c>
      <c r="S37" s="22">
        <f t="shared" si="16"/>
        <v>0</v>
      </c>
      <c r="T37" s="23">
        <f t="shared" si="16"/>
        <v>0</v>
      </c>
      <c r="U37" s="24"/>
      <c r="V37" s="2"/>
      <c r="AA37" s="21">
        <f>SUM(AA6:AA36)</f>
        <v>0</v>
      </c>
      <c r="AB37" s="21">
        <f>SUM(AB6:AB36)</f>
        <v>130.5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17"/>
      <c r="C41" s="18" t="str">
        <f t="shared" ref="C41:C45" si="17">TEXT(B41,"aaa")</f>
        <v>土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>
        <f t="shared" ref="T41:T44" si="18">SUM(D41:S41)</f>
        <v>0</v>
      </c>
      <c r="U41" s="40"/>
    </row>
    <row r="42" spans="2:29" x14ac:dyDescent="0.2">
      <c r="B42" s="17"/>
      <c r="C42" s="18" t="str">
        <f t="shared" si="17"/>
        <v>土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>
        <f t="shared" si="18"/>
        <v>0</v>
      </c>
      <c r="U42" s="40"/>
    </row>
    <row r="43" spans="2:29" x14ac:dyDescent="0.2">
      <c r="B43" s="54"/>
      <c r="C43" s="18" t="str">
        <f t="shared" si="17"/>
        <v>土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>
        <f t="shared" si="18"/>
        <v>0</v>
      </c>
      <c r="U43" s="40"/>
    </row>
    <row r="44" spans="2:29" x14ac:dyDescent="0.2">
      <c r="B44" s="54"/>
      <c r="C44" s="18" t="str">
        <f t="shared" si="17"/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si="18"/>
        <v>0</v>
      </c>
      <c r="U44" s="40"/>
    </row>
    <row r="45" spans="2:29" x14ac:dyDescent="0.2">
      <c r="B45" s="17"/>
      <c r="C45" s="18" t="str">
        <f t="shared" si="17"/>
        <v>土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>
        <f t="shared" ref="T45:T49" si="19">SUM(D45:S45)</f>
        <v>0</v>
      </c>
      <c r="U45" s="40"/>
    </row>
    <row r="46" spans="2:29" x14ac:dyDescent="0.2">
      <c r="B46" s="17"/>
      <c r="C46" s="18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si="19"/>
        <v>0</v>
      </c>
      <c r="U46" s="40"/>
    </row>
    <row r="47" spans="2:29" x14ac:dyDescent="0.2">
      <c r="B47" s="17"/>
      <c r="C47" s="18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>
        <f t="shared" si="19"/>
        <v>0</v>
      </c>
      <c r="U47" s="40"/>
    </row>
    <row r="48" spans="2:29" x14ac:dyDescent="0.2">
      <c r="B48" s="17"/>
      <c r="C48" s="18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>
        <f t="shared" si="19"/>
        <v>0</v>
      </c>
      <c r="U48" s="40"/>
    </row>
    <row r="49" spans="2:21" ht="13.8" thickBot="1" x14ac:dyDescent="0.25">
      <c r="B49" s="25"/>
      <c r="C49" s="2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>
        <f t="shared" si="19"/>
        <v>0</v>
      </c>
      <c r="U49" s="42"/>
    </row>
    <row r="50" spans="2:21" ht="13.8" thickTop="1" x14ac:dyDescent="0.2">
      <c r="B50" s="29" t="s">
        <v>21</v>
      </c>
      <c r="C50" s="22" t="s">
        <v>0</v>
      </c>
      <c r="D50" s="22">
        <f>SUM(D41:D49)</f>
        <v>0</v>
      </c>
      <c r="E50" s="22">
        <f>SUM(E41:E49)</f>
        <v>0</v>
      </c>
      <c r="F50" s="22">
        <f t="shared" ref="F50:T50" si="20">SUM(F41:F49)</f>
        <v>0</v>
      </c>
      <c r="G50" s="22">
        <f t="shared" si="20"/>
        <v>0</v>
      </c>
      <c r="H50" s="22">
        <f t="shared" si="20"/>
        <v>0</v>
      </c>
      <c r="I50" s="22">
        <f t="shared" si="20"/>
        <v>0</v>
      </c>
      <c r="J50" s="22">
        <f t="shared" si="20"/>
        <v>0</v>
      </c>
      <c r="K50" s="22">
        <f t="shared" si="20"/>
        <v>0</v>
      </c>
      <c r="L50" s="22">
        <f t="shared" si="20"/>
        <v>0</v>
      </c>
      <c r="M50" s="22">
        <f t="shared" si="20"/>
        <v>0</v>
      </c>
      <c r="N50" s="22">
        <f t="shared" si="20"/>
        <v>0</v>
      </c>
      <c r="O50" s="22">
        <f t="shared" si="20"/>
        <v>0</v>
      </c>
      <c r="P50" s="22">
        <f t="shared" si="20"/>
        <v>0</v>
      </c>
      <c r="Q50" s="22">
        <f t="shared" si="20"/>
        <v>0</v>
      </c>
      <c r="R50" s="22">
        <f t="shared" si="20"/>
        <v>0</v>
      </c>
      <c r="S50" s="22">
        <f t="shared" si="20"/>
        <v>0</v>
      </c>
      <c r="T50" s="22">
        <f t="shared" si="20"/>
        <v>0</v>
      </c>
      <c r="U50" s="43"/>
    </row>
  </sheetData>
  <phoneticPr fontId="1"/>
  <conditionalFormatting sqref="Z6:Z36">
    <cfRule type="cellIs" dxfId="11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AC50"/>
  <sheetViews>
    <sheetView topLeftCell="B1" zoomScale="70" zoomScaleNormal="70" workbookViewId="0">
      <pane xSplit="2" ySplit="5" topLeftCell="D6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T38" sqref="T38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61"/>
      <c r="G1" s="61"/>
      <c r="I1" s="61"/>
      <c r="K1" s="38"/>
      <c r="M1" s="38"/>
      <c r="R1" s="33"/>
    </row>
    <row r="2" spans="2:29" ht="39.6" x14ac:dyDescent="0.2">
      <c r="B2" s="15" t="s">
        <v>6</v>
      </c>
      <c r="C2" s="11"/>
      <c r="D2" s="16"/>
      <c r="E2" s="16"/>
      <c r="F2" s="63"/>
      <c r="G2" s="63"/>
      <c r="H2" s="16"/>
      <c r="I2" s="64"/>
      <c r="J2" s="16"/>
      <c r="K2" s="16"/>
      <c r="L2" s="16"/>
      <c r="M2" s="16"/>
      <c r="N2" s="16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60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/>
      <c r="Q3" s="13"/>
      <c r="R3" s="13" t="str">
        <f>IF(ISERROR(VLOOKUP(R2,件番!$A$10:$D$113,2,FALSE)),"",(VLOOKUP(R2,件番!$A$10:$D$113,2,FALSE)))</f>
        <v/>
      </c>
      <c r="S3" s="13" t="str">
        <f>IF(ISERROR(VLOOKUP(S2,件番!$A$3:$D$113,2,FALSE)),"",(VLOOKUP(S2,件番!$A$3:$D$113,2,FALSE)))</f>
        <v>2032B1008</v>
      </c>
      <c r="T3" s="13"/>
      <c r="U3" s="13"/>
    </row>
    <row r="4" spans="2:29" ht="27" customHeight="1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60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/>
      <c r="Q4" s="13"/>
      <c r="R4" s="13" t="str">
        <f>IF(ISERROR(VLOOKUP(R2,件番!$A$10:$D$113,2,FALSE)),"",(VLOOKUP(R2,件番!$A$10:$D$113,3,FALSE)))</f>
        <v/>
      </c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60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/>
      <c r="Q5" s="13"/>
      <c r="R5" s="13"/>
      <c r="S5" s="13"/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46174</v>
      </c>
      <c r="C6" s="18" t="str">
        <f>TEXT(B6,"aaa")</f>
        <v>月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5" si="0">SUM(D6:S6)</f>
        <v>0</v>
      </c>
      <c r="U6" s="19"/>
      <c r="V6" s="2">
        <v>0.375</v>
      </c>
      <c r="W6" s="2">
        <v>0.72916666666666663</v>
      </c>
      <c r="X6" s="2">
        <v>5.2083333333333336E-2</v>
      </c>
      <c r="Y6" s="20">
        <f t="shared" ref="Y6:Y10" si="1">(W6-V6-X6)*24</f>
        <v>7.25</v>
      </c>
      <c r="Z6" s="21">
        <f t="shared" ref="Z6:Z10" si="2">Y6-T6</f>
        <v>7.25</v>
      </c>
      <c r="AA6" s="21">
        <f t="shared" ref="AA6:AA10" si="3">AC6-AB6</f>
        <v>0</v>
      </c>
      <c r="AB6" s="20">
        <v>7.25</v>
      </c>
      <c r="AC6">
        <f t="shared" ref="AC6:AC10" si="4">ABS(Y6)</f>
        <v>7.25</v>
      </c>
    </row>
    <row r="7" spans="2:29" x14ac:dyDescent="0.2">
      <c r="B7" s="17">
        <v>46175</v>
      </c>
      <c r="C7" s="18" t="str">
        <f t="shared" ref="C7:C35" si="5">TEXT(B7,"aaa")</f>
        <v>火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39"/>
      <c r="V7" s="2">
        <v>0.375</v>
      </c>
      <c r="W7" s="2">
        <v>0.72916666666666663</v>
      </c>
      <c r="X7" s="2">
        <v>5.2083333333333336E-2</v>
      </c>
      <c r="Y7" s="20">
        <f t="shared" si="1"/>
        <v>7.25</v>
      </c>
      <c r="Z7" s="21">
        <f t="shared" si="2"/>
        <v>7.25</v>
      </c>
      <c r="AA7" s="21">
        <f t="shared" si="3"/>
        <v>0</v>
      </c>
      <c r="AB7" s="20">
        <v>7.25</v>
      </c>
      <c r="AC7">
        <f t="shared" si="4"/>
        <v>7.25</v>
      </c>
    </row>
    <row r="8" spans="2:29" x14ac:dyDescent="0.2">
      <c r="B8" s="17">
        <v>46176</v>
      </c>
      <c r="C8" s="18" t="str">
        <f t="shared" si="5"/>
        <v>水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19"/>
      <c r="V8" s="2">
        <v>0.375</v>
      </c>
      <c r="W8" s="2">
        <v>0.72916666666666663</v>
      </c>
      <c r="X8" s="2">
        <v>5.2083333333333336E-2</v>
      </c>
      <c r="Y8" s="20">
        <f t="shared" si="1"/>
        <v>7.25</v>
      </c>
      <c r="Z8" s="21">
        <f t="shared" si="2"/>
        <v>7.25</v>
      </c>
      <c r="AA8" s="21">
        <f t="shared" si="3"/>
        <v>0</v>
      </c>
      <c r="AB8" s="20">
        <v>7.25</v>
      </c>
      <c r="AC8">
        <f t="shared" si="4"/>
        <v>7.25</v>
      </c>
    </row>
    <row r="9" spans="2:29" x14ac:dyDescent="0.2">
      <c r="B9" s="17">
        <v>46177</v>
      </c>
      <c r="C9" s="18" t="str">
        <f t="shared" si="5"/>
        <v>木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39"/>
      <c r="V9" s="2">
        <v>0.375</v>
      </c>
      <c r="W9" s="2">
        <v>0.72916666666666663</v>
      </c>
      <c r="X9" s="2">
        <v>5.2083333333333336E-2</v>
      </c>
      <c r="Y9" s="20">
        <f t="shared" si="1"/>
        <v>7.25</v>
      </c>
      <c r="Z9" s="21">
        <f t="shared" si="2"/>
        <v>7.25</v>
      </c>
      <c r="AA9" s="21">
        <f t="shared" si="3"/>
        <v>0</v>
      </c>
      <c r="AB9" s="20">
        <v>7.25</v>
      </c>
      <c r="AC9">
        <f t="shared" si="4"/>
        <v>7.25</v>
      </c>
    </row>
    <row r="10" spans="2:29" x14ac:dyDescent="0.2">
      <c r="B10" s="17">
        <v>46178</v>
      </c>
      <c r="C10" s="18" t="str">
        <f t="shared" si="5"/>
        <v>金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19"/>
      <c r="V10" s="2">
        <v>0.375</v>
      </c>
      <c r="W10" s="2">
        <v>0.72916666666666663</v>
      </c>
      <c r="X10" s="2">
        <v>5.2083333333333336E-2</v>
      </c>
      <c r="Y10" s="20">
        <f t="shared" si="1"/>
        <v>7.25</v>
      </c>
      <c r="Z10" s="21">
        <f t="shared" si="2"/>
        <v>7.25</v>
      </c>
      <c r="AA10" s="21">
        <f t="shared" si="3"/>
        <v>0</v>
      </c>
      <c r="AB10" s="20">
        <v>7.25</v>
      </c>
      <c r="AC10">
        <f t="shared" si="4"/>
        <v>7.25</v>
      </c>
    </row>
    <row r="11" spans="2:29" x14ac:dyDescent="0.2">
      <c r="B11" s="17">
        <v>46179</v>
      </c>
      <c r="C11" s="18" t="str">
        <f t="shared" si="5"/>
        <v>土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39"/>
      <c r="V11" s="2"/>
      <c r="W11" s="2"/>
      <c r="X11" s="2"/>
      <c r="Y11" s="20">
        <f t="shared" ref="Y11" si="6">(W11-V11-X11)*24</f>
        <v>0</v>
      </c>
      <c r="Z11" s="21">
        <f t="shared" ref="Z11" si="7">Y11-T11</f>
        <v>0</v>
      </c>
      <c r="AA11" s="21"/>
      <c r="AB11" s="20"/>
    </row>
    <row r="12" spans="2:29" x14ac:dyDescent="0.2">
      <c r="B12" s="17">
        <v>46180</v>
      </c>
      <c r="C12" s="18" t="str">
        <f t="shared" si="5"/>
        <v>日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41"/>
      <c r="V12" s="2"/>
      <c r="W12" s="2"/>
      <c r="X12" s="2"/>
      <c r="Y12" s="20">
        <f t="shared" ref="Y12:Y35" si="8">(W12-V12-X12)*24</f>
        <v>0</v>
      </c>
      <c r="Z12" s="21">
        <f t="shared" ref="Z12:Z35" si="9">Y12-T12</f>
        <v>0</v>
      </c>
      <c r="AA12" s="21"/>
      <c r="AB12" s="20"/>
    </row>
    <row r="13" spans="2:29" x14ac:dyDescent="0.2">
      <c r="B13" s="17">
        <v>46181</v>
      </c>
      <c r="C13" s="18" t="str">
        <f t="shared" si="5"/>
        <v>月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41"/>
      <c r="V13" s="2">
        <v>0.375</v>
      </c>
      <c r="W13" s="2">
        <v>0.72916666666666663</v>
      </c>
      <c r="X13" s="2">
        <v>5.2083333333333336E-2</v>
      </c>
      <c r="Y13" s="20">
        <f t="shared" si="8"/>
        <v>7.25</v>
      </c>
      <c r="Z13" s="21">
        <f t="shared" si="9"/>
        <v>7.25</v>
      </c>
      <c r="AA13" s="21">
        <f t="shared" ref="AA13:AA17" si="10">AC13-AB13</f>
        <v>0</v>
      </c>
      <c r="AB13" s="20">
        <v>7.25</v>
      </c>
      <c r="AC13">
        <f t="shared" ref="AC13:AC17" si="11">ABS(Y13)</f>
        <v>7.25</v>
      </c>
    </row>
    <row r="14" spans="2:29" x14ac:dyDescent="0.2">
      <c r="B14" s="17">
        <v>46182</v>
      </c>
      <c r="C14" s="18" t="str">
        <f t="shared" si="5"/>
        <v>火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39"/>
      <c r="V14" s="2">
        <v>0.375</v>
      </c>
      <c r="W14" s="2">
        <v>0.72916666666666663</v>
      </c>
      <c r="X14" s="2">
        <v>5.2083333333333336E-2</v>
      </c>
      <c r="Y14" s="20">
        <f t="shared" si="8"/>
        <v>7.25</v>
      </c>
      <c r="Z14" s="21">
        <f t="shared" si="9"/>
        <v>7.25</v>
      </c>
      <c r="AA14" s="21">
        <f t="shared" si="10"/>
        <v>0</v>
      </c>
      <c r="AB14" s="20">
        <v>7.25</v>
      </c>
      <c r="AC14">
        <f t="shared" si="11"/>
        <v>7.25</v>
      </c>
    </row>
    <row r="15" spans="2:29" x14ac:dyDescent="0.2">
      <c r="B15" s="17">
        <v>46183</v>
      </c>
      <c r="C15" s="18" t="str">
        <f t="shared" si="5"/>
        <v>水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44"/>
      <c r="V15" s="2">
        <v>0.375</v>
      </c>
      <c r="W15" s="2">
        <v>0.72916666666666663</v>
      </c>
      <c r="X15" s="2">
        <v>5.2083333333333336E-2</v>
      </c>
      <c r="Y15" s="20">
        <f t="shared" si="8"/>
        <v>7.25</v>
      </c>
      <c r="Z15" s="21">
        <f t="shared" si="9"/>
        <v>7.25</v>
      </c>
      <c r="AA15" s="21">
        <f t="shared" si="10"/>
        <v>0</v>
      </c>
      <c r="AB15" s="20">
        <v>7.25</v>
      </c>
      <c r="AC15">
        <f t="shared" si="11"/>
        <v>7.25</v>
      </c>
    </row>
    <row r="16" spans="2:29" x14ac:dyDescent="0.2">
      <c r="B16" s="17">
        <v>46184</v>
      </c>
      <c r="C16" s="18" t="str">
        <f t="shared" si="5"/>
        <v>木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44"/>
      <c r="V16" s="2">
        <v>0.375</v>
      </c>
      <c r="W16" s="2">
        <v>0.72916666666666663</v>
      </c>
      <c r="X16" s="2">
        <v>5.2083333333333336E-2</v>
      </c>
      <c r="Y16" s="20">
        <f t="shared" si="8"/>
        <v>7.25</v>
      </c>
      <c r="Z16" s="21">
        <f t="shared" si="9"/>
        <v>7.25</v>
      </c>
      <c r="AA16" s="21">
        <f t="shared" si="10"/>
        <v>0</v>
      </c>
      <c r="AB16" s="20">
        <v>7.25</v>
      </c>
      <c r="AC16">
        <f t="shared" si="11"/>
        <v>7.25</v>
      </c>
    </row>
    <row r="17" spans="2:29" x14ac:dyDescent="0.2">
      <c r="B17" s="17">
        <v>46185</v>
      </c>
      <c r="C17" s="18" t="str">
        <f t="shared" si="5"/>
        <v>金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19"/>
      <c r="V17" s="2">
        <v>0.375</v>
      </c>
      <c r="W17" s="2">
        <v>0.72916666666666663</v>
      </c>
      <c r="X17" s="2">
        <v>5.2083333333333336E-2</v>
      </c>
      <c r="Y17" s="20">
        <f t="shared" si="8"/>
        <v>7.25</v>
      </c>
      <c r="Z17" s="21">
        <f t="shared" si="9"/>
        <v>7.25</v>
      </c>
      <c r="AA17" s="21">
        <f t="shared" si="10"/>
        <v>0</v>
      </c>
      <c r="AB17" s="20">
        <v>7.25</v>
      </c>
      <c r="AC17">
        <f t="shared" si="11"/>
        <v>7.25</v>
      </c>
    </row>
    <row r="18" spans="2:29" x14ac:dyDescent="0.2">
      <c r="B18" s="17">
        <v>46186</v>
      </c>
      <c r="C18" s="18" t="str">
        <f t="shared" si="5"/>
        <v>土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19"/>
      <c r="V18" s="2"/>
      <c r="W18" s="2"/>
      <c r="X18" s="2"/>
      <c r="Y18" s="20">
        <f t="shared" si="8"/>
        <v>0</v>
      </c>
      <c r="Z18" s="21">
        <f t="shared" si="9"/>
        <v>0</v>
      </c>
      <c r="AA18" s="21"/>
      <c r="AB18" s="20"/>
    </row>
    <row r="19" spans="2:29" x14ac:dyDescent="0.2">
      <c r="B19" s="17">
        <v>46187</v>
      </c>
      <c r="C19" s="18" t="str">
        <f t="shared" si="5"/>
        <v>日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19"/>
      <c r="V19" s="2"/>
      <c r="W19" s="2"/>
      <c r="X19" s="2"/>
      <c r="Y19" s="20">
        <f t="shared" si="8"/>
        <v>0</v>
      </c>
      <c r="Z19" s="21">
        <f t="shared" si="9"/>
        <v>0</v>
      </c>
      <c r="AA19" s="21"/>
      <c r="AB19" s="20"/>
    </row>
    <row r="20" spans="2:29" x14ac:dyDescent="0.2">
      <c r="B20" s="17">
        <v>46188</v>
      </c>
      <c r="C20" s="18" t="str">
        <f t="shared" si="5"/>
        <v>月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19"/>
      <c r="V20" s="2">
        <v>0.375</v>
      </c>
      <c r="W20" s="2">
        <v>0.72916666666666663</v>
      </c>
      <c r="X20" s="2">
        <v>5.2083333333333336E-2</v>
      </c>
      <c r="Y20" s="20">
        <f t="shared" si="8"/>
        <v>7.25</v>
      </c>
      <c r="Z20" s="21">
        <f t="shared" si="9"/>
        <v>7.25</v>
      </c>
      <c r="AA20" s="21">
        <f t="shared" ref="AA20:AA24" si="12">AC20-AB20</f>
        <v>0</v>
      </c>
      <c r="AB20" s="20">
        <v>7.25</v>
      </c>
      <c r="AC20">
        <f t="shared" ref="AC20:AC24" si="13">ABS(Y20)</f>
        <v>7.25</v>
      </c>
    </row>
    <row r="21" spans="2:29" x14ac:dyDescent="0.2">
      <c r="B21" s="17">
        <v>46189</v>
      </c>
      <c r="C21" s="18" t="str">
        <f t="shared" si="5"/>
        <v>火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19"/>
      <c r="V21" s="2">
        <v>0.375</v>
      </c>
      <c r="W21" s="2">
        <v>0.72916666666666663</v>
      </c>
      <c r="X21" s="2">
        <v>5.2083333333333336E-2</v>
      </c>
      <c r="Y21" s="20">
        <f t="shared" si="8"/>
        <v>7.25</v>
      </c>
      <c r="Z21" s="21">
        <f t="shared" si="9"/>
        <v>7.25</v>
      </c>
      <c r="AA21" s="21">
        <f t="shared" si="12"/>
        <v>0</v>
      </c>
      <c r="AB21" s="20">
        <v>7.25</v>
      </c>
      <c r="AC21">
        <f t="shared" si="13"/>
        <v>7.25</v>
      </c>
    </row>
    <row r="22" spans="2:29" x14ac:dyDescent="0.2">
      <c r="B22" s="17">
        <v>46190</v>
      </c>
      <c r="C22" s="18" t="str">
        <f t="shared" si="5"/>
        <v>水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19"/>
      <c r="V22" s="2">
        <v>0.375</v>
      </c>
      <c r="W22" s="2">
        <v>0.72916666666666663</v>
      </c>
      <c r="X22" s="2">
        <v>5.2083333333333336E-2</v>
      </c>
      <c r="Y22" s="20">
        <f t="shared" si="8"/>
        <v>7.25</v>
      </c>
      <c r="Z22" s="21">
        <f t="shared" si="9"/>
        <v>7.25</v>
      </c>
      <c r="AA22" s="21">
        <f t="shared" si="12"/>
        <v>0</v>
      </c>
      <c r="AB22" s="20">
        <v>7.25</v>
      </c>
      <c r="AC22">
        <f t="shared" si="13"/>
        <v>7.25</v>
      </c>
    </row>
    <row r="23" spans="2:29" x14ac:dyDescent="0.2">
      <c r="B23" s="17">
        <v>46191</v>
      </c>
      <c r="C23" s="18" t="str">
        <f t="shared" si="5"/>
        <v>木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19"/>
      <c r="V23" s="2">
        <v>0.375</v>
      </c>
      <c r="W23" s="2">
        <v>0.72916666666666663</v>
      </c>
      <c r="X23" s="2">
        <v>5.2083333333333336E-2</v>
      </c>
      <c r="Y23" s="20">
        <f t="shared" si="8"/>
        <v>7.25</v>
      </c>
      <c r="Z23" s="21">
        <f t="shared" si="9"/>
        <v>7.25</v>
      </c>
      <c r="AA23" s="21">
        <f t="shared" si="12"/>
        <v>0</v>
      </c>
      <c r="AB23" s="20">
        <v>7.25</v>
      </c>
      <c r="AC23">
        <f t="shared" si="13"/>
        <v>7.25</v>
      </c>
    </row>
    <row r="24" spans="2:29" x14ac:dyDescent="0.2">
      <c r="B24" s="17">
        <v>46192</v>
      </c>
      <c r="C24" s="18" t="str">
        <f t="shared" si="5"/>
        <v>金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19"/>
      <c r="V24" s="2">
        <v>0.375</v>
      </c>
      <c r="W24" s="2">
        <v>0.72916666666666663</v>
      </c>
      <c r="X24" s="2">
        <v>5.2083333333333336E-2</v>
      </c>
      <c r="Y24" s="20">
        <f t="shared" si="8"/>
        <v>7.25</v>
      </c>
      <c r="Z24" s="21">
        <f t="shared" si="9"/>
        <v>7.25</v>
      </c>
      <c r="AA24" s="21">
        <f t="shared" si="12"/>
        <v>0</v>
      </c>
      <c r="AB24" s="20">
        <v>7.25</v>
      </c>
      <c r="AC24">
        <f t="shared" si="13"/>
        <v>7.25</v>
      </c>
    </row>
    <row r="25" spans="2:29" x14ac:dyDescent="0.2">
      <c r="B25" s="17">
        <v>46193</v>
      </c>
      <c r="C25" s="18" t="str">
        <f t="shared" si="5"/>
        <v>土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19"/>
      <c r="V25" s="2"/>
      <c r="W25" s="2"/>
      <c r="X25" s="2"/>
      <c r="Y25" s="20">
        <f t="shared" si="8"/>
        <v>0</v>
      </c>
      <c r="Z25" s="21">
        <f t="shared" si="9"/>
        <v>0</v>
      </c>
      <c r="AA25" s="21"/>
      <c r="AB25" s="20"/>
    </row>
    <row r="26" spans="2:29" x14ac:dyDescent="0.2">
      <c r="B26" s="17">
        <v>46194</v>
      </c>
      <c r="C26" s="18" t="str">
        <f t="shared" si="5"/>
        <v>日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19"/>
      <c r="V26" s="2"/>
      <c r="W26" s="2"/>
      <c r="X26" s="2"/>
      <c r="Y26" s="20">
        <f t="shared" si="8"/>
        <v>0</v>
      </c>
      <c r="Z26" s="21">
        <f t="shared" si="9"/>
        <v>0</v>
      </c>
      <c r="AA26" s="21"/>
      <c r="AB26" s="20"/>
    </row>
    <row r="27" spans="2:29" x14ac:dyDescent="0.2">
      <c r="B27" s="17">
        <v>46195</v>
      </c>
      <c r="C27" s="18" t="str">
        <f t="shared" si="5"/>
        <v>月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19"/>
      <c r="V27" s="2">
        <v>0.375</v>
      </c>
      <c r="W27" s="2">
        <v>0.72916666666666663</v>
      </c>
      <c r="X27" s="2">
        <v>5.2083333333333336E-2</v>
      </c>
      <c r="Y27" s="20">
        <f t="shared" si="8"/>
        <v>7.25</v>
      </c>
      <c r="Z27" s="21">
        <f t="shared" si="9"/>
        <v>7.25</v>
      </c>
      <c r="AA27" s="21">
        <f t="shared" ref="AA27:AA31" si="14">AC27-AB27</f>
        <v>0</v>
      </c>
      <c r="AB27" s="20">
        <v>7.25</v>
      </c>
      <c r="AC27">
        <f t="shared" ref="AC27:AC31" si="15">ABS(Y27)</f>
        <v>7.25</v>
      </c>
    </row>
    <row r="28" spans="2:29" x14ac:dyDescent="0.2">
      <c r="B28" s="17">
        <v>46196</v>
      </c>
      <c r="C28" s="18" t="str">
        <f t="shared" si="5"/>
        <v>火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19"/>
      <c r="V28" s="2">
        <v>0.375</v>
      </c>
      <c r="W28" s="2">
        <v>0.72916666666666663</v>
      </c>
      <c r="X28" s="2">
        <v>5.2083333333333336E-2</v>
      </c>
      <c r="Y28" s="20">
        <f t="shared" si="8"/>
        <v>7.25</v>
      </c>
      <c r="Z28" s="21">
        <f t="shared" si="9"/>
        <v>7.25</v>
      </c>
      <c r="AA28" s="21">
        <f t="shared" si="14"/>
        <v>0</v>
      </c>
      <c r="AB28" s="20">
        <v>7.25</v>
      </c>
      <c r="AC28">
        <f t="shared" si="15"/>
        <v>7.25</v>
      </c>
    </row>
    <row r="29" spans="2:29" x14ac:dyDescent="0.2">
      <c r="B29" s="17">
        <v>46197</v>
      </c>
      <c r="C29" s="18" t="str">
        <f t="shared" si="5"/>
        <v>水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44"/>
      <c r="V29" s="2">
        <v>0.375</v>
      </c>
      <c r="W29" s="2">
        <v>0.72916666666666663</v>
      </c>
      <c r="X29" s="2">
        <v>5.2083333333333336E-2</v>
      </c>
      <c r="Y29" s="20">
        <f t="shared" si="8"/>
        <v>7.25</v>
      </c>
      <c r="Z29" s="21">
        <f t="shared" si="9"/>
        <v>7.25</v>
      </c>
      <c r="AA29" s="21">
        <f t="shared" si="14"/>
        <v>0</v>
      </c>
      <c r="AB29" s="20">
        <v>7.25</v>
      </c>
      <c r="AC29">
        <f t="shared" si="15"/>
        <v>7.25</v>
      </c>
    </row>
    <row r="30" spans="2:29" x14ac:dyDescent="0.2">
      <c r="B30" s="17">
        <v>46198</v>
      </c>
      <c r="C30" s="18" t="str">
        <f t="shared" si="5"/>
        <v>木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4"/>
      <c r="V30" s="2">
        <v>0.375</v>
      </c>
      <c r="W30" s="2">
        <v>0.72916666666666663</v>
      </c>
      <c r="X30" s="2">
        <v>5.2083333333333336E-2</v>
      </c>
      <c r="Y30" s="20">
        <f t="shared" si="8"/>
        <v>7.25</v>
      </c>
      <c r="Z30" s="21">
        <f t="shared" si="9"/>
        <v>7.25</v>
      </c>
      <c r="AA30" s="21">
        <f t="shared" si="14"/>
        <v>0</v>
      </c>
      <c r="AB30" s="20">
        <v>7.25</v>
      </c>
      <c r="AC30">
        <f t="shared" si="15"/>
        <v>7.25</v>
      </c>
    </row>
    <row r="31" spans="2:29" x14ac:dyDescent="0.2">
      <c r="B31" s="17">
        <v>46199</v>
      </c>
      <c r="C31" s="18" t="str">
        <f t="shared" si="5"/>
        <v>金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44"/>
      <c r="V31" s="2">
        <v>0.375</v>
      </c>
      <c r="W31" s="2">
        <v>0.72916666666666663</v>
      </c>
      <c r="X31" s="2">
        <v>5.2083333333333336E-2</v>
      </c>
      <c r="Y31" s="20">
        <f t="shared" si="8"/>
        <v>7.25</v>
      </c>
      <c r="Z31" s="21">
        <f t="shared" si="9"/>
        <v>7.25</v>
      </c>
      <c r="AA31" s="21">
        <f t="shared" si="14"/>
        <v>0</v>
      </c>
      <c r="AB31" s="20">
        <v>7.25</v>
      </c>
      <c r="AC31">
        <f t="shared" si="15"/>
        <v>7.25</v>
      </c>
    </row>
    <row r="32" spans="2:29" x14ac:dyDescent="0.2">
      <c r="B32" s="17">
        <v>46200</v>
      </c>
      <c r="C32" s="18" t="str">
        <f t="shared" si="5"/>
        <v>土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19"/>
      <c r="V32" s="2"/>
      <c r="W32" s="2"/>
      <c r="X32" s="2"/>
      <c r="Y32" s="20">
        <f t="shared" si="8"/>
        <v>0</v>
      </c>
      <c r="Z32" s="21">
        <f t="shared" si="9"/>
        <v>0</v>
      </c>
      <c r="AA32" s="21"/>
      <c r="AB32" s="20"/>
    </row>
    <row r="33" spans="2:29" x14ac:dyDescent="0.2">
      <c r="B33" s="17">
        <v>46201</v>
      </c>
      <c r="C33" s="18" t="str">
        <f t="shared" si="5"/>
        <v>日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41"/>
      <c r="V33" s="2"/>
      <c r="W33" s="2"/>
      <c r="X33" s="2"/>
      <c r="Y33" s="20">
        <f t="shared" si="8"/>
        <v>0</v>
      </c>
      <c r="Z33" s="21">
        <f t="shared" si="9"/>
        <v>0</v>
      </c>
      <c r="AA33" s="21"/>
      <c r="AB33" s="20"/>
    </row>
    <row r="34" spans="2:29" x14ac:dyDescent="0.2">
      <c r="B34" s="17">
        <v>46202</v>
      </c>
      <c r="C34" s="18" t="str">
        <f t="shared" si="5"/>
        <v>月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19"/>
      <c r="V34" s="2">
        <v>0.375</v>
      </c>
      <c r="W34" s="2">
        <v>0.72916666666666663</v>
      </c>
      <c r="X34" s="2">
        <v>5.2083333333333336E-2</v>
      </c>
      <c r="Y34" s="20">
        <f t="shared" si="8"/>
        <v>7.25</v>
      </c>
      <c r="Z34" s="21">
        <f t="shared" si="9"/>
        <v>7.25</v>
      </c>
      <c r="AA34" s="21">
        <f t="shared" ref="AA34:AA35" si="16">AC34-AB34</f>
        <v>0</v>
      </c>
      <c r="AB34" s="20">
        <v>7.25</v>
      </c>
      <c r="AC34">
        <f t="shared" ref="AC34:AC35" si="17">ABS(Y34)</f>
        <v>7.25</v>
      </c>
    </row>
    <row r="35" spans="2:29" x14ac:dyDescent="0.2">
      <c r="B35" s="17">
        <v>46203</v>
      </c>
      <c r="C35" s="18" t="str">
        <f t="shared" si="5"/>
        <v>火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19"/>
      <c r="V35" s="2">
        <v>0.375</v>
      </c>
      <c r="W35" s="2">
        <v>0.72916666666666663</v>
      </c>
      <c r="X35" s="2">
        <v>5.2083333333333336E-2</v>
      </c>
      <c r="Y35" s="20">
        <f t="shared" si="8"/>
        <v>7.25</v>
      </c>
      <c r="Z35" s="21">
        <f t="shared" si="9"/>
        <v>7.25</v>
      </c>
      <c r="AA35" s="21">
        <f t="shared" si="16"/>
        <v>0</v>
      </c>
      <c r="AB35" s="20">
        <v>7.25</v>
      </c>
      <c r="AC35">
        <f t="shared" si="17"/>
        <v>7.25</v>
      </c>
    </row>
    <row r="36" spans="2:29" ht="13.8" thickBo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/>
      <c r="U36" s="27"/>
      <c r="V36" s="2"/>
      <c r="W36" s="2"/>
      <c r="X36" s="2"/>
      <c r="Y36" s="20"/>
      <c r="Z36" s="21"/>
      <c r="AA36" s="21"/>
      <c r="AB36" s="20"/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T37" si="18">SUM(E6:E36)</f>
        <v>0</v>
      </c>
      <c r="F37" s="22">
        <f t="shared" si="18"/>
        <v>0</v>
      </c>
      <c r="G37" s="22">
        <f t="shared" si="18"/>
        <v>0</v>
      </c>
      <c r="H37" s="22">
        <f t="shared" si="18"/>
        <v>0</v>
      </c>
      <c r="I37" s="22">
        <f t="shared" si="18"/>
        <v>0</v>
      </c>
      <c r="J37" s="22">
        <f t="shared" si="18"/>
        <v>0</v>
      </c>
      <c r="K37" s="22">
        <f t="shared" si="18"/>
        <v>0</v>
      </c>
      <c r="L37" s="22">
        <f t="shared" si="18"/>
        <v>0</v>
      </c>
      <c r="M37" s="22">
        <f t="shared" si="18"/>
        <v>0</v>
      </c>
      <c r="N37" s="22">
        <f t="shared" si="18"/>
        <v>0</v>
      </c>
      <c r="O37" s="22">
        <f t="shared" si="18"/>
        <v>0</v>
      </c>
      <c r="P37" s="22">
        <f t="shared" si="18"/>
        <v>0</v>
      </c>
      <c r="Q37" s="22">
        <f t="shared" si="18"/>
        <v>0</v>
      </c>
      <c r="R37" s="22">
        <f t="shared" si="18"/>
        <v>0</v>
      </c>
      <c r="S37" s="22">
        <f t="shared" si="18"/>
        <v>0</v>
      </c>
      <c r="T37" s="23">
        <f t="shared" si="18"/>
        <v>0</v>
      </c>
      <c r="U37" s="24"/>
      <c r="V37" s="2"/>
      <c r="Y37" s="21"/>
      <c r="AA37" s="21">
        <f>SUM(AA6:AA36)</f>
        <v>0</v>
      </c>
      <c r="AB37" s="21">
        <f>SUM(AB6:AB36)</f>
        <v>159.5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55"/>
      <c r="C41" s="56" t="str">
        <f t="shared" ref="C41:C43" si="19">TEXT(B41,"aaa")</f>
        <v>土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>
        <f t="shared" ref="T41:T45" si="20">SUM(D41:S41)</f>
        <v>0</v>
      </c>
      <c r="U41" s="40"/>
    </row>
    <row r="42" spans="2:29" x14ac:dyDescent="0.2">
      <c r="B42" s="55"/>
      <c r="C42" s="56" t="str">
        <f t="shared" si="19"/>
        <v>土</v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>
        <f t="shared" si="20"/>
        <v>0</v>
      </c>
      <c r="U42" s="40"/>
    </row>
    <row r="43" spans="2:29" x14ac:dyDescent="0.2">
      <c r="B43" s="55"/>
      <c r="C43" s="56" t="str">
        <f t="shared" si="19"/>
        <v>土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>
        <f t="shared" si="20"/>
        <v>0</v>
      </c>
      <c r="U43" s="40"/>
    </row>
    <row r="44" spans="2:29" x14ac:dyDescent="0.2">
      <c r="B44" s="55"/>
      <c r="C44" s="56" t="str">
        <f t="shared" ref="C44:C47" si="21">TEXT(B44,"aaa")</f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si="20"/>
        <v>0</v>
      </c>
      <c r="U44" s="40"/>
      <c r="W44" s="38"/>
    </row>
    <row r="45" spans="2:29" x14ac:dyDescent="0.2">
      <c r="B45" s="55"/>
      <c r="C45" s="56" t="str">
        <f t="shared" si="21"/>
        <v>土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>
        <f t="shared" si="20"/>
        <v>0</v>
      </c>
      <c r="U45" s="40"/>
      <c r="W45" s="53"/>
    </row>
    <row r="46" spans="2:29" x14ac:dyDescent="0.2">
      <c r="B46" s="55"/>
      <c r="C46" s="56" t="str">
        <f t="shared" si="21"/>
        <v>土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ref="T46:T49" si="22">SUM(D46:S46)</f>
        <v>0</v>
      </c>
      <c r="U46" s="40"/>
      <c r="W46" s="53"/>
    </row>
    <row r="47" spans="2:29" x14ac:dyDescent="0.2">
      <c r="B47" s="55"/>
      <c r="C47" s="56" t="str">
        <f t="shared" si="21"/>
        <v>土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>
        <f t="shared" si="22"/>
        <v>0</v>
      </c>
      <c r="U47" s="40"/>
    </row>
    <row r="48" spans="2:29" x14ac:dyDescent="0.2">
      <c r="B48" s="17"/>
      <c r="C48" s="18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>
        <f t="shared" si="22"/>
        <v>0</v>
      </c>
      <c r="U48" s="40"/>
    </row>
    <row r="49" spans="2:21" ht="13.8" thickBot="1" x14ac:dyDescent="0.25">
      <c r="B49" s="25"/>
      <c r="C49" s="2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>
        <f t="shared" si="22"/>
        <v>0</v>
      </c>
      <c r="U49" s="42"/>
    </row>
    <row r="50" spans="2:21" ht="13.8" thickTop="1" x14ac:dyDescent="0.2">
      <c r="B50" s="29" t="s">
        <v>21</v>
      </c>
      <c r="C50" s="22" t="s">
        <v>0</v>
      </c>
      <c r="D50" s="22">
        <f>SUM(D41:D49)</f>
        <v>0</v>
      </c>
      <c r="E50" s="22">
        <f>SUM(E41:E49)</f>
        <v>0</v>
      </c>
      <c r="F50" s="22">
        <f t="shared" ref="F50:T50" si="23">SUM(F41:F49)</f>
        <v>0</v>
      </c>
      <c r="G50" s="22">
        <f t="shared" si="23"/>
        <v>0</v>
      </c>
      <c r="H50" s="22">
        <f t="shared" si="23"/>
        <v>0</v>
      </c>
      <c r="I50" s="22">
        <f t="shared" si="23"/>
        <v>0</v>
      </c>
      <c r="J50" s="22">
        <f t="shared" si="23"/>
        <v>0</v>
      </c>
      <c r="K50" s="22">
        <f t="shared" si="23"/>
        <v>0</v>
      </c>
      <c r="L50" s="22">
        <f t="shared" si="23"/>
        <v>0</v>
      </c>
      <c r="M50" s="22">
        <f t="shared" si="23"/>
        <v>0</v>
      </c>
      <c r="N50" s="22">
        <f t="shared" si="23"/>
        <v>0</v>
      </c>
      <c r="O50" s="22">
        <f t="shared" si="23"/>
        <v>0</v>
      </c>
      <c r="P50" s="22">
        <f t="shared" si="23"/>
        <v>0</v>
      </c>
      <c r="Q50" s="22">
        <f t="shared" si="23"/>
        <v>0</v>
      </c>
      <c r="R50" s="22">
        <f t="shared" si="23"/>
        <v>0</v>
      </c>
      <c r="S50" s="22">
        <f t="shared" si="23"/>
        <v>0</v>
      </c>
      <c r="T50" s="22">
        <f t="shared" si="23"/>
        <v>0</v>
      </c>
      <c r="U50" s="43"/>
    </row>
  </sheetData>
  <phoneticPr fontId="1"/>
  <conditionalFormatting sqref="Z6:Z36">
    <cfRule type="cellIs" dxfId="10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AC50"/>
  <sheetViews>
    <sheetView topLeftCell="B1" zoomScale="70" zoomScaleNormal="70" workbookViewId="0">
      <pane xSplit="2" ySplit="5" topLeftCell="D6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T38" sqref="T38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61"/>
      <c r="G1" s="61"/>
      <c r="I1" s="61"/>
      <c r="K1" s="38"/>
      <c r="M1" s="38"/>
    </row>
    <row r="2" spans="2:29" ht="39.6" x14ac:dyDescent="0.2">
      <c r="B2" s="15" t="s">
        <v>6</v>
      </c>
      <c r="C2" s="11"/>
      <c r="D2" s="16"/>
      <c r="E2" s="16"/>
      <c r="F2" s="63"/>
      <c r="G2" s="63"/>
      <c r="H2" s="16"/>
      <c r="I2" s="64"/>
      <c r="J2" s="16"/>
      <c r="K2" s="16"/>
      <c r="L2" s="16"/>
      <c r="M2" s="16"/>
      <c r="N2" s="16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60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/>
      <c r="Q3" s="13"/>
      <c r="R3" s="13"/>
      <c r="S3" s="13" t="str">
        <f>IF(ISERROR(VLOOKUP(S2,件番!$A$3:$D$113,2,FALSE)),"",(VLOOKUP(S2,件番!$A$3:$D$113,2,FALSE)))</f>
        <v>2032B1008</v>
      </c>
      <c r="T3" s="13"/>
      <c r="U3" s="13"/>
    </row>
    <row r="4" spans="2:29" ht="27" customHeight="1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60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/>
      <c r="Q4" s="13"/>
      <c r="R4" s="13"/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60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/>
      <c r="Q5" s="13"/>
      <c r="R5" s="13"/>
      <c r="S5" s="13"/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46204</v>
      </c>
      <c r="C6" s="18" t="str">
        <f>TEXT(B6,"aaa")</f>
        <v>水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6" si="0">SUM(D6:S6)</f>
        <v>0</v>
      </c>
      <c r="U6" s="41"/>
      <c r="V6" s="2">
        <v>0.375</v>
      </c>
      <c r="W6" s="2">
        <v>0.72916666666666663</v>
      </c>
      <c r="X6" s="2">
        <v>5.2083333333333336E-2</v>
      </c>
      <c r="Y6" s="20">
        <f t="shared" ref="Y6:Y8" si="1">(W6-V6-X6)*24</f>
        <v>7.25</v>
      </c>
      <c r="Z6" s="21">
        <f t="shared" ref="Z6:Z8" si="2">Y6-T6</f>
        <v>7.25</v>
      </c>
      <c r="AA6" s="21">
        <f t="shared" ref="AA6:AA8" si="3">AC6-AB6</f>
        <v>0</v>
      </c>
      <c r="AB6" s="20">
        <v>7.25</v>
      </c>
      <c r="AC6">
        <f t="shared" ref="AC6:AC8" si="4">ABS(Y6)</f>
        <v>7.25</v>
      </c>
    </row>
    <row r="7" spans="2:29" x14ac:dyDescent="0.2">
      <c r="B7" s="17">
        <v>46205</v>
      </c>
      <c r="C7" s="18" t="str">
        <f t="shared" ref="C7:C35" si="5">TEXT(B7,"aaa")</f>
        <v>木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44"/>
      <c r="V7" s="2">
        <v>0.375</v>
      </c>
      <c r="W7" s="2">
        <v>0.72916666666666663</v>
      </c>
      <c r="X7" s="2">
        <v>5.2083333333333336E-2</v>
      </c>
      <c r="Y7" s="20">
        <f t="shared" si="1"/>
        <v>7.25</v>
      </c>
      <c r="Z7" s="21">
        <f t="shared" si="2"/>
        <v>7.25</v>
      </c>
      <c r="AA7" s="21">
        <f t="shared" si="3"/>
        <v>0</v>
      </c>
      <c r="AB7" s="20">
        <v>7.25</v>
      </c>
      <c r="AC7">
        <f t="shared" si="4"/>
        <v>7.25</v>
      </c>
    </row>
    <row r="8" spans="2:29" x14ac:dyDescent="0.2">
      <c r="B8" s="17">
        <v>46206</v>
      </c>
      <c r="C8" s="18" t="str">
        <f t="shared" si="5"/>
        <v>金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44"/>
      <c r="V8" s="2">
        <v>0.375</v>
      </c>
      <c r="W8" s="2">
        <v>0.72916666666666663</v>
      </c>
      <c r="X8" s="2">
        <v>5.2083333333333336E-2</v>
      </c>
      <c r="Y8" s="20">
        <f t="shared" si="1"/>
        <v>7.25</v>
      </c>
      <c r="Z8" s="21">
        <f t="shared" si="2"/>
        <v>7.25</v>
      </c>
      <c r="AA8" s="21">
        <f t="shared" si="3"/>
        <v>0</v>
      </c>
      <c r="AB8" s="20">
        <v>7.25</v>
      </c>
      <c r="AC8">
        <f t="shared" si="4"/>
        <v>7.25</v>
      </c>
    </row>
    <row r="9" spans="2:29" x14ac:dyDescent="0.2">
      <c r="B9" s="17">
        <v>46207</v>
      </c>
      <c r="C9" s="18" t="str">
        <f t="shared" si="5"/>
        <v>土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44"/>
      <c r="V9" s="2"/>
      <c r="W9" s="2"/>
      <c r="X9" s="2"/>
      <c r="Y9" s="20">
        <f t="shared" ref="Y9:Y36" si="6">(W9-V9-X9)*24</f>
        <v>0</v>
      </c>
      <c r="Z9" s="21">
        <f t="shared" ref="Z9:Z36" si="7">Y9-T9</f>
        <v>0</v>
      </c>
      <c r="AA9" s="21"/>
      <c r="AB9" s="20"/>
    </row>
    <row r="10" spans="2:29" x14ac:dyDescent="0.2">
      <c r="B10" s="17">
        <v>46208</v>
      </c>
      <c r="C10" s="18" t="str">
        <f t="shared" si="5"/>
        <v>日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44"/>
      <c r="V10" s="2"/>
      <c r="W10" s="2"/>
      <c r="X10" s="2"/>
      <c r="Y10" s="20">
        <f t="shared" si="6"/>
        <v>0</v>
      </c>
      <c r="Z10" s="21">
        <f t="shared" si="7"/>
        <v>0</v>
      </c>
      <c r="AA10" s="21"/>
      <c r="AB10" s="20"/>
    </row>
    <row r="11" spans="2:29" x14ac:dyDescent="0.2">
      <c r="B11" s="17">
        <v>46209</v>
      </c>
      <c r="C11" s="18" t="str">
        <f t="shared" si="5"/>
        <v>月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44"/>
      <c r="V11" s="2">
        <v>0.375</v>
      </c>
      <c r="W11" s="2">
        <v>0.72916666666666663</v>
      </c>
      <c r="X11" s="2">
        <v>5.2083333333333336E-2</v>
      </c>
      <c r="Y11" s="20">
        <f t="shared" si="6"/>
        <v>7.25</v>
      </c>
      <c r="Z11" s="21">
        <f t="shared" si="7"/>
        <v>7.25</v>
      </c>
      <c r="AA11" s="21">
        <f t="shared" ref="AA11:AA15" si="8">AC11-AB11</f>
        <v>0</v>
      </c>
      <c r="AB11" s="20">
        <v>7.25</v>
      </c>
      <c r="AC11">
        <f t="shared" ref="AC11:AC15" si="9">ABS(Y11)</f>
        <v>7.25</v>
      </c>
    </row>
    <row r="12" spans="2:29" x14ac:dyDescent="0.2">
      <c r="B12" s="17">
        <v>46210</v>
      </c>
      <c r="C12" s="18" t="str">
        <f t="shared" si="5"/>
        <v>火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41"/>
      <c r="V12" s="2">
        <v>0.375</v>
      </c>
      <c r="W12" s="2">
        <v>0.72916666666666663</v>
      </c>
      <c r="X12" s="2">
        <v>5.2083333333333336E-2</v>
      </c>
      <c r="Y12" s="20">
        <f t="shared" si="6"/>
        <v>7.25</v>
      </c>
      <c r="Z12" s="21">
        <f t="shared" si="7"/>
        <v>7.25</v>
      </c>
      <c r="AA12" s="21">
        <f t="shared" si="8"/>
        <v>0</v>
      </c>
      <c r="AB12" s="20">
        <v>7.25</v>
      </c>
      <c r="AC12">
        <f t="shared" si="9"/>
        <v>7.25</v>
      </c>
    </row>
    <row r="13" spans="2:29" x14ac:dyDescent="0.2">
      <c r="B13" s="17">
        <v>46211</v>
      </c>
      <c r="C13" s="18" t="str">
        <f t="shared" si="5"/>
        <v>水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44"/>
      <c r="V13" s="2">
        <v>0.375</v>
      </c>
      <c r="W13" s="2">
        <v>0.72916666666666663</v>
      </c>
      <c r="X13" s="2">
        <v>5.2083333333333336E-2</v>
      </c>
      <c r="Y13" s="20">
        <f t="shared" si="6"/>
        <v>7.25</v>
      </c>
      <c r="Z13" s="21">
        <f t="shared" si="7"/>
        <v>7.25</v>
      </c>
      <c r="AA13" s="21">
        <f t="shared" si="8"/>
        <v>0</v>
      </c>
      <c r="AB13" s="20">
        <v>7.25</v>
      </c>
      <c r="AC13">
        <f t="shared" si="9"/>
        <v>7.25</v>
      </c>
    </row>
    <row r="14" spans="2:29" x14ac:dyDescent="0.2">
      <c r="B14" s="17">
        <v>46212</v>
      </c>
      <c r="C14" s="18" t="str">
        <f t="shared" si="5"/>
        <v>木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45"/>
      <c r="V14" s="2">
        <v>0.375</v>
      </c>
      <c r="W14" s="2">
        <v>0.72916666666666663</v>
      </c>
      <c r="X14" s="2">
        <v>5.2083333333333336E-2</v>
      </c>
      <c r="Y14" s="20">
        <f t="shared" si="6"/>
        <v>7.25</v>
      </c>
      <c r="Z14" s="21">
        <f t="shared" si="7"/>
        <v>7.25</v>
      </c>
      <c r="AA14" s="21">
        <f t="shared" si="8"/>
        <v>0</v>
      </c>
      <c r="AB14" s="20">
        <v>7.25</v>
      </c>
      <c r="AC14">
        <f t="shared" si="9"/>
        <v>7.25</v>
      </c>
    </row>
    <row r="15" spans="2:29" x14ac:dyDescent="0.2">
      <c r="B15" s="17">
        <v>46213</v>
      </c>
      <c r="C15" s="18" t="str">
        <f t="shared" si="5"/>
        <v>金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44"/>
      <c r="V15" s="2">
        <v>0.375</v>
      </c>
      <c r="W15" s="2">
        <v>0.72916666666666663</v>
      </c>
      <c r="X15" s="2">
        <v>5.2083333333333336E-2</v>
      </c>
      <c r="Y15" s="20">
        <f t="shared" si="6"/>
        <v>7.25</v>
      </c>
      <c r="Z15" s="21">
        <f t="shared" si="7"/>
        <v>7.25</v>
      </c>
      <c r="AA15" s="21">
        <f t="shared" si="8"/>
        <v>0</v>
      </c>
      <c r="AB15" s="20">
        <v>7.25</v>
      </c>
      <c r="AC15">
        <f t="shared" si="9"/>
        <v>7.25</v>
      </c>
    </row>
    <row r="16" spans="2:29" x14ac:dyDescent="0.2">
      <c r="B16" s="17">
        <v>46214</v>
      </c>
      <c r="C16" s="18" t="str">
        <f t="shared" si="5"/>
        <v>土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44"/>
      <c r="V16" s="2"/>
      <c r="W16" s="2"/>
      <c r="X16" s="2"/>
      <c r="Y16" s="20">
        <f t="shared" si="6"/>
        <v>0</v>
      </c>
      <c r="Z16" s="21">
        <f t="shared" si="7"/>
        <v>0</v>
      </c>
      <c r="AA16" s="21"/>
      <c r="AB16" s="20"/>
    </row>
    <row r="17" spans="2:29" x14ac:dyDescent="0.2">
      <c r="B17" s="17">
        <v>46215</v>
      </c>
      <c r="C17" s="18" t="str">
        <f t="shared" si="5"/>
        <v>日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19"/>
      <c r="V17" s="2"/>
      <c r="W17" s="2"/>
      <c r="X17" s="2"/>
      <c r="Y17" s="20">
        <f t="shared" si="6"/>
        <v>0</v>
      </c>
      <c r="Z17" s="21">
        <f t="shared" si="7"/>
        <v>0</v>
      </c>
      <c r="AA17" s="21"/>
      <c r="AB17" s="20"/>
    </row>
    <row r="18" spans="2:29" x14ac:dyDescent="0.2">
      <c r="B18" s="17">
        <v>46216</v>
      </c>
      <c r="C18" s="18" t="str">
        <f t="shared" si="5"/>
        <v>月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44"/>
      <c r="V18" s="2">
        <v>0.375</v>
      </c>
      <c r="W18" s="2">
        <v>0.72916666666666663</v>
      </c>
      <c r="X18" s="2">
        <v>5.2083333333333336E-2</v>
      </c>
      <c r="Y18" s="20">
        <f t="shared" si="6"/>
        <v>7.25</v>
      </c>
      <c r="Z18" s="21">
        <f t="shared" si="7"/>
        <v>7.25</v>
      </c>
      <c r="AA18" s="21">
        <f t="shared" ref="AA18:AA22" si="10">AC18-AB18</f>
        <v>0</v>
      </c>
      <c r="AB18" s="20">
        <v>7.25</v>
      </c>
      <c r="AC18">
        <f t="shared" ref="AC18:AC22" si="11">ABS(Y18)</f>
        <v>7.25</v>
      </c>
    </row>
    <row r="19" spans="2:29" x14ac:dyDescent="0.2">
      <c r="B19" s="17">
        <v>46217</v>
      </c>
      <c r="C19" s="18" t="str">
        <f t="shared" si="5"/>
        <v>火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19"/>
      <c r="V19" s="2">
        <v>0.375</v>
      </c>
      <c r="W19" s="2">
        <v>0.72916666666666663</v>
      </c>
      <c r="X19" s="2">
        <v>5.2083333333333336E-2</v>
      </c>
      <c r="Y19" s="20">
        <f t="shared" si="6"/>
        <v>7.25</v>
      </c>
      <c r="Z19" s="21">
        <f t="shared" si="7"/>
        <v>7.25</v>
      </c>
      <c r="AA19" s="21">
        <f t="shared" si="10"/>
        <v>0</v>
      </c>
      <c r="AB19" s="20">
        <v>7.25</v>
      </c>
      <c r="AC19">
        <f t="shared" si="11"/>
        <v>7.25</v>
      </c>
    </row>
    <row r="20" spans="2:29" x14ac:dyDescent="0.2">
      <c r="B20" s="17">
        <v>46218</v>
      </c>
      <c r="C20" s="18" t="str">
        <f t="shared" si="5"/>
        <v>水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44"/>
      <c r="V20" s="2">
        <v>0.375</v>
      </c>
      <c r="W20" s="2">
        <v>0.72916666666666663</v>
      </c>
      <c r="X20" s="2">
        <v>5.2083333333333336E-2</v>
      </c>
      <c r="Y20" s="20">
        <f t="shared" si="6"/>
        <v>7.25</v>
      </c>
      <c r="Z20" s="21">
        <f t="shared" si="7"/>
        <v>7.25</v>
      </c>
      <c r="AA20" s="21">
        <f t="shared" si="10"/>
        <v>0</v>
      </c>
      <c r="AB20" s="20">
        <v>7.25</v>
      </c>
      <c r="AC20">
        <f t="shared" si="11"/>
        <v>7.25</v>
      </c>
    </row>
    <row r="21" spans="2:29" x14ac:dyDescent="0.2">
      <c r="B21" s="17">
        <v>46219</v>
      </c>
      <c r="C21" s="18" t="str">
        <f t="shared" si="5"/>
        <v>木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44"/>
      <c r="V21" s="2">
        <v>0.375</v>
      </c>
      <c r="W21" s="2">
        <v>0.72916666666666663</v>
      </c>
      <c r="X21" s="2">
        <v>5.2083333333333336E-2</v>
      </c>
      <c r="Y21" s="20">
        <f t="shared" si="6"/>
        <v>7.25</v>
      </c>
      <c r="Z21" s="21">
        <f t="shared" si="7"/>
        <v>7.25</v>
      </c>
      <c r="AA21" s="21">
        <f t="shared" si="10"/>
        <v>0</v>
      </c>
      <c r="AB21" s="20">
        <v>7.25</v>
      </c>
      <c r="AC21">
        <f t="shared" si="11"/>
        <v>7.25</v>
      </c>
    </row>
    <row r="22" spans="2:29" x14ac:dyDescent="0.2">
      <c r="B22" s="17">
        <v>46220</v>
      </c>
      <c r="C22" s="18" t="str">
        <f t="shared" si="5"/>
        <v>金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45"/>
      <c r="V22" s="2">
        <v>0.375</v>
      </c>
      <c r="W22" s="2">
        <v>0.72916666666666663</v>
      </c>
      <c r="X22" s="2">
        <v>5.2083333333333336E-2</v>
      </c>
      <c r="Y22" s="20">
        <f t="shared" si="6"/>
        <v>7.25</v>
      </c>
      <c r="Z22" s="21">
        <f t="shared" si="7"/>
        <v>7.25</v>
      </c>
      <c r="AA22" s="21">
        <f t="shared" si="10"/>
        <v>0</v>
      </c>
      <c r="AB22" s="20">
        <v>7.25</v>
      </c>
      <c r="AC22">
        <f t="shared" si="11"/>
        <v>7.25</v>
      </c>
    </row>
    <row r="23" spans="2:29" x14ac:dyDescent="0.2">
      <c r="B23" s="17">
        <v>46221</v>
      </c>
      <c r="C23" s="18" t="str">
        <f t="shared" si="5"/>
        <v>土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45"/>
      <c r="V23" s="2"/>
      <c r="W23" s="2"/>
      <c r="X23" s="2"/>
      <c r="Y23" s="20">
        <f t="shared" si="6"/>
        <v>0</v>
      </c>
      <c r="Z23" s="21">
        <f t="shared" si="7"/>
        <v>0</v>
      </c>
      <c r="AA23" s="21"/>
      <c r="AB23" s="20"/>
    </row>
    <row r="24" spans="2:29" x14ac:dyDescent="0.2">
      <c r="B24" s="17">
        <v>46222</v>
      </c>
      <c r="C24" s="18" t="str">
        <f t="shared" si="5"/>
        <v>日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44"/>
      <c r="V24" s="2"/>
      <c r="W24" s="2"/>
      <c r="X24" s="2"/>
      <c r="Y24" s="20">
        <f t="shared" si="6"/>
        <v>0</v>
      </c>
      <c r="Z24" s="21">
        <f t="shared" si="7"/>
        <v>0</v>
      </c>
      <c r="AA24" s="21"/>
      <c r="AB24" s="20"/>
    </row>
    <row r="25" spans="2:29" x14ac:dyDescent="0.2">
      <c r="B25" s="17">
        <v>46223</v>
      </c>
      <c r="C25" s="18" t="str">
        <f t="shared" si="5"/>
        <v>月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45" t="s">
        <v>27</v>
      </c>
      <c r="V25" s="2"/>
      <c r="W25" s="2"/>
      <c r="X25" s="2"/>
      <c r="Y25" s="20">
        <f t="shared" si="6"/>
        <v>0</v>
      </c>
      <c r="Z25" s="21">
        <f t="shared" si="7"/>
        <v>0</v>
      </c>
      <c r="AA25" s="21"/>
      <c r="AB25" s="20"/>
    </row>
    <row r="26" spans="2:29" x14ac:dyDescent="0.2">
      <c r="B26" s="17">
        <v>46224</v>
      </c>
      <c r="C26" s="18" t="str">
        <f t="shared" si="5"/>
        <v>火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45"/>
      <c r="V26" s="2">
        <v>0.375</v>
      </c>
      <c r="W26" s="2">
        <v>0.72916666666666663</v>
      </c>
      <c r="X26" s="2">
        <v>5.2083333333333336E-2</v>
      </c>
      <c r="Y26" s="20">
        <f t="shared" si="6"/>
        <v>7.25</v>
      </c>
      <c r="Z26" s="21">
        <f t="shared" si="7"/>
        <v>7.25</v>
      </c>
      <c r="AA26" s="21">
        <f t="shared" ref="AA26:AA29" si="12">AC26-AB26</f>
        <v>0</v>
      </c>
      <c r="AB26" s="20">
        <v>7.25</v>
      </c>
      <c r="AC26">
        <f t="shared" ref="AC26:AC29" si="13">ABS(Y26)</f>
        <v>7.25</v>
      </c>
    </row>
    <row r="27" spans="2:29" x14ac:dyDescent="0.2">
      <c r="B27" s="17">
        <v>46225</v>
      </c>
      <c r="C27" s="18" t="str">
        <f t="shared" si="5"/>
        <v>水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45"/>
      <c r="V27" s="2">
        <v>0.375</v>
      </c>
      <c r="W27" s="2">
        <v>0.72916666666666663</v>
      </c>
      <c r="X27" s="2">
        <v>5.2083333333333336E-2</v>
      </c>
      <c r="Y27" s="20">
        <f t="shared" si="6"/>
        <v>7.25</v>
      </c>
      <c r="Z27" s="21">
        <f t="shared" si="7"/>
        <v>7.25</v>
      </c>
      <c r="AA27" s="21">
        <f t="shared" si="12"/>
        <v>0</v>
      </c>
      <c r="AB27" s="20">
        <v>7.25</v>
      </c>
      <c r="AC27">
        <f t="shared" si="13"/>
        <v>7.25</v>
      </c>
    </row>
    <row r="28" spans="2:29" x14ac:dyDescent="0.2">
      <c r="B28" s="17">
        <v>46226</v>
      </c>
      <c r="C28" s="18" t="str">
        <f t="shared" si="5"/>
        <v>木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45"/>
      <c r="V28" s="2">
        <v>0.375</v>
      </c>
      <c r="W28" s="2">
        <v>0.72916666666666663</v>
      </c>
      <c r="X28" s="2">
        <v>5.2083333333333336E-2</v>
      </c>
      <c r="Y28" s="20">
        <f t="shared" si="6"/>
        <v>7.25</v>
      </c>
      <c r="Z28" s="21">
        <f t="shared" si="7"/>
        <v>7.25</v>
      </c>
      <c r="AA28" s="21">
        <f t="shared" si="12"/>
        <v>0</v>
      </c>
      <c r="AB28" s="20">
        <v>7.25</v>
      </c>
      <c r="AC28">
        <f t="shared" si="13"/>
        <v>7.25</v>
      </c>
    </row>
    <row r="29" spans="2:29" x14ac:dyDescent="0.2">
      <c r="B29" s="17">
        <v>46227</v>
      </c>
      <c r="C29" s="18" t="str">
        <f t="shared" si="5"/>
        <v>金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44"/>
      <c r="V29" s="2">
        <v>0.375</v>
      </c>
      <c r="W29" s="2">
        <v>0.72916666666666663</v>
      </c>
      <c r="X29" s="2">
        <v>5.2083333333333336E-2</v>
      </c>
      <c r="Y29" s="20">
        <f t="shared" si="6"/>
        <v>7.25</v>
      </c>
      <c r="Z29" s="21">
        <f t="shared" si="7"/>
        <v>7.25</v>
      </c>
      <c r="AA29" s="21">
        <f t="shared" si="12"/>
        <v>0</v>
      </c>
      <c r="AB29" s="20">
        <v>7.25</v>
      </c>
      <c r="AC29">
        <f t="shared" si="13"/>
        <v>7.25</v>
      </c>
    </row>
    <row r="30" spans="2:29" x14ac:dyDescent="0.2">
      <c r="B30" s="17">
        <v>46228</v>
      </c>
      <c r="C30" s="18" t="str">
        <f t="shared" si="5"/>
        <v>土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4"/>
      <c r="V30" s="2"/>
      <c r="W30" s="2"/>
      <c r="X30" s="2"/>
      <c r="Y30" s="20">
        <f t="shared" si="6"/>
        <v>0</v>
      </c>
      <c r="Z30" s="21">
        <f t="shared" si="7"/>
        <v>0</v>
      </c>
      <c r="AA30" s="21"/>
      <c r="AB30" s="20"/>
    </row>
    <row r="31" spans="2:29" x14ac:dyDescent="0.2">
      <c r="B31" s="17">
        <v>46229</v>
      </c>
      <c r="C31" s="18" t="str">
        <f t="shared" si="5"/>
        <v>日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44"/>
      <c r="V31" s="2"/>
      <c r="W31" s="2"/>
      <c r="X31" s="2"/>
      <c r="Y31" s="20">
        <f t="shared" si="6"/>
        <v>0</v>
      </c>
      <c r="Z31" s="21">
        <f t="shared" si="7"/>
        <v>0</v>
      </c>
      <c r="AA31" s="21"/>
      <c r="AB31" s="20"/>
    </row>
    <row r="32" spans="2:29" x14ac:dyDescent="0.2">
      <c r="B32" s="17">
        <v>46230</v>
      </c>
      <c r="C32" s="18" t="str">
        <f t="shared" si="5"/>
        <v>月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44"/>
      <c r="V32" s="2">
        <v>0.375</v>
      </c>
      <c r="W32" s="2">
        <v>0.72916666666666663</v>
      </c>
      <c r="X32" s="2">
        <v>5.2083333333333336E-2</v>
      </c>
      <c r="Y32" s="20">
        <f t="shared" si="6"/>
        <v>7.25</v>
      </c>
      <c r="Z32" s="21">
        <f t="shared" si="7"/>
        <v>7.25</v>
      </c>
      <c r="AA32" s="21">
        <f t="shared" ref="AA32:AA36" si="14">AC32-AB32</f>
        <v>0</v>
      </c>
      <c r="AB32" s="20">
        <v>7.25</v>
      </c>
      <c r="AC32">
        <f t="shared" ref="AC32:AC36" si="15">ABS(Y32)</f>
        <v>7.25</v>
      </c>
    </row>
    <row r="33" spans="2:29" x14ac:dyDescent="0.2">
      <c r="B33" s="17">
        <v>46231</v>
      </c>
      <c r="C33" s="18" t="str">
        <f t="shared" si="5"/>
        <v>火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19"/>
      <c r="V33" s="2">
        <v>0.375</v>
      </c>
      <c r="W33" s="2">
        <v>0.72916666666666663</v>
      </c>
      <c r="X33" s="2">
        <v>5.2083333333333336E-2</v>
      </c>
      <c r="Y33" s="20">
        <f t="shared" si="6"/>
        <v>7.25</v>
      </c>
      <c r="Z33" s="21">
        <f t="shared" si="7"/>
        <v>7.25</v>
      </c>
      <c r="AA33" s="21">
        <f t="shared" si="14"/>
        <v>0</v>
      </c>
      <c r="AB33" s="20">
        <v>7.25</v>
      </c>
      <c r="AC33">
        <f t="shared" si="15"/>
        <v>7.25</v>
      </c>
    </row>
    <row r="34" spans="2:29" x14ac:dyDescent="0.2">
      <c r="B34" s="17">
        <v>46232</v>
      </c>
      <c r="C34" s="18" t="str">
        <f t="shared" si="5"/>
        <v>水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44"/>
      <c r="V34" s="2">
        <v>0.375</v>
      </c>
      <c r="W34" s="2">
        <v>0.72916666666666663</v>
      </c>
      <c r="X34" s="2">
        <v>5.2083333333333336E-2</v>
      </c>
      <c r="Y34" s="20">
        <f t="shared" si="6"/>
        <v>7.25</v>
      </c>
      <c r="Z34" s="21">
        <f t="shared" si="7"/>
        <v>7.25</v>
      </c>
      <c r="AA34" s="21">
        <f t="shared" si="14"/>
        <v>0</v>
      </c>
      <c r="AB34" s="20">
        <v>7.25</v>
      </c>
      <c r="AC34">
        <f t="shared" si="15"/>
        <v>7.25</v>
      </c>
    </row>
    <row r="35" spans="2:29" x14ac:dyDescent="0.2">
      <c r="B35" s="17">
        <v>46233</v>
      </c>
      <c r="C35" s="18" t="str">
        <f t="shared" si="5"/>
        <v>木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19"/>
      <c r="V35" s="2">
        <v>0.375</v>
      </c>
      <c r="W35" s="2">
        <v>0.72916666666666663</v>
      </c>
      <c r="X35" s="2">
        <v>5.2083333333333336E-2</v>
      </c>
      <c r="Y35" s="20">
        <f t="shared" si="6"/>
        <v>7.25</v>
      </c>
      <c r="Z35" s="21">
        <f t="shared" si="7"/>
        <v>7.25</v>
      </c>
      <c r="AA35" s="21">
        <f t="shared" si="14"/>
        <v>0</v>
      </c>
      <c r="AB35" s="20">
        <v>7.25</v>
      </c>
      <c r="AC35">
        <f t="shared" si="15"/>
        <v>7.25</v>
      </c>
    </row>
    <row r="36" spans="2:29" ht="13.8" thickBot="1" x14ac:dyDescent="0.25">
      <c r="B36" s="25">
        <v>46234</v>
      </c>
      <c r="C36" s="26" t="str">
        <f>TEXT(B36,"aaa")</f>
        <v>金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>
        <f t="shared" si="0"/>
        <v>0</v>
      </c>
      <c r="U36" s="49"/>
      <c r="V36" s="2">
        <v>0.375</v>
      </c>
      <c r="W36" s="2">
        <v>0.72916666666666663</v>
      </c>
      <c r="X36" s="2">
        <v>5.2083333333333336E-2</v>
      </c>
      <c r="Y36" s="20">
        <f t="shared" si="6"/>
        <v>7.25</v>
      </c>
      <c r="Z36" s="21">
        <f t="shared" si="7"/>
        <v>7.25</v>
      </c>
      <c r="AA36" s="21">
        <f t="shared" si="14"/>
        <v>0</v>
      </c>
      <c r="AB36" s="20">
        <v>7.25</v>
      </c>
      <c r="AC36">
        <f t="shared" si="15"/>
        <v>7.25</v>
      </c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S37" si="16">SUM(E6:E36)</f>
        <v>0</v>
      </c>
      <c r="F37" s="22">
        <f t="shared" si="16"/>
        <v>0</v>
      </c>
      <c r="G37" s="22">
        <f t="shared" si="16"/>
        <v>0</v>
      </c>
      <c r="H37" s="22">
        <f t="shared" si="16"/>
        <v>0</v>
      </c>
      <c r="I37" s="22">
        <f t="shared" si="16"/>
        <v>0</v>
      </c>
      <c r="J37" s="22">
        <f t="shared" si="16"/>
        <v>0</v>
      </c>
      <c r="K37" s="22">
        <f t="shared" si="16"/>
        <v>0</v>
      </c>
      <c r="L37" s="22">
        <f t="shared" si="16"/>
        <v>0</v>
      </c>
      <c r="M37" s="22">
        <f t="shared" si="16"/>
        <v>0</v>
      </c>
      <c r="N37" s="22">
        <f t="shared" si="16"/>
        <v>0</v>
      </c>
      <c r="O37" s="22">
        <f t="shared" si="16"/>
        <v>0</v>
      </c>
      <c r="P37" s="22">
        <f t="shared" si="16"/>
        <v>0</v>
      </c>
      <c r="Q37" s="22">
        <f t="shared" si="16"/>
        <v>0</v>
      </c>
      <c r="R37" s="22">
        <f t="shared" si="16"/>
        <v>0</v>
      </c>
      <c r="S37" s="22">
        <f t="shared" si="16"/>
        <v>0</v>
      </c>
      <c r="T37" s="23">
        <f>SUM(T6:T36)</f>
        <v>0</v>
      </c>
      <c r="U37" s="24"/>
      <c r="V37" s="2"/>
      <c r="Y37" s="21"/>
      <c r="AA37" s="21">
        <f>SUM(AA6:AA36)</f>
        <v>0</v>
      </c>
      <c r="AB37" s="21">
        <f>SUM(AB6:AB36)</f>
        <v>159.5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17"/>
      <c r="C41" s="18" t="str">
        <f>TEXT(B41,"aaa")</f>
        <v>土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>
        <f t="shared" ref="T41:T49" si="17">SUM(D41:S41)</f>
        <v>0</v>
      </c>
      <c r="U41" s="40"/>
    </row>
    <row r="42" spans="2:29" x14ac:dyDescent="0.2">
      <c r="B42" s="17"/>
      <c r="C42" s="18" t="str">
        <f>TEXT(B42,"aaa")</f>
        <v>土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>
        <f t="shared" si="17"/>
        <v>0</v>
      </c>
      <c r="U42" s="40"/>
    </row>
    <row r="43" spans="2:29" x14ac:dyDescent="0.2">
      <c r="B43" s="17"/>
      <c r="C43" s="18" t="str">
        <f>TEXT(B43,"aaa")</f>
        <v>土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>
        <f t="shared" si="17"/>
        <v>0</v>
      </c>
      <c r="U43" s="40"/>
    </row>
    <row r="44" spans="2:29" x14ac:dyDescent="0.2">
      <c r="B44" s="17"/>
      <c r="C44" s="18" t="str">
        <f>TEXT(B44,"aaa")</f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si="17"/>
        <v>0</v>
      </c>
      <c r="U44" s="40"/>
    </row>
    <row r="45" spans="2:29" x14ac:dyDescent="0.2">
      <c r="B45" s="17"/>
      <c r="C45" s="18" t="str">
        <f>TEXT(B45,"aaa")</f>
        <v>土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>
        <f t="shared" si="17"/>
        <v>0</v>
      </c>
      <c r="U45" s="40"/>
    </row>
    <row r="46" spans="2:29" x14ac:dyDescent="0.2">
      <c r="B46" s="17"/>
      <c r="C46" s="18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si="17"/>
        <v>0</v>
      </c>
      <c r="U46" s="40"/>
    </row>
    <row r="47" spans="2:29" x14ac:dyDescent="0.2">
      <c r="B47" s="17"/>
      <c r="C47" s="18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>
        <f t="shared" si="17"/>
        <v>0</v>
      </c>
      <c r="U47" s="40"/>
    </row>
    <row r="48" spans="2:29" x14ac:dyDescent="0.2">
      <c r="B48" s="17"/>
      <c r="C48" s="18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>
        <f t="shared" si="17"/>
        <v>0</v>
      </c>
      <c r="U48" s="40"/>
    </row>
    <row r="49" spans="2:21" ht="13.8" thickBot="1" x14ac:dyDescent="0.25">
      <c r="B49" s="25"/>
      <c r="C49" s="2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>
        <f t="shared" si="17"/>
        <v>0</v>
      </c>
      <c r="U49" s="42"/>
    </row>
    <row r="50" spans="2:21" ht="13.8" thickTop="1" x14ac:dyDescent="0.2">
      <c r="B50" s="29" t="s">
        <v>21</v>
      </c>
      <c r="C50" s="22" t="s">
        <v>0</v>
      </c>
      <c r="D50" s="22">
        <f>SUM(D41:D49)</f>
        <v>0</v>
      </c>
      <c r="E50" s="22">
        <f>SUM(E41:E49)</f>
        <v>0</v>
      </c>
      <c r="F50" s="22">
        <f t="shared" ref="F50:T50" si="18">SUM(F41:F49)</f>
        <v>0</v>
      </c>
      <c r="G50" s="22">
        <f t="shared" si="18"/>
        <v>0</v>
      </c>
      <c r="H50" s="22">
        <f t="shared" si="18"/>
        <v>0</v>
      </c>
      <c r="I50" s="22">
        <f t="shared" si="18"/>
        <v>0</v>
      </c>
      <c r="J50" s="22">
        <f t="shared" si="18"/>
        <v>0</v>
      </c>
      <c r="K50" s="22">
        <f t="shared" si="18"/>
        <v>0</v>
      </c>
      <c r="L50" s="22">
        <f t="shared" si="18"/>
        <v>0</v>
      </c>
      <c r="M50" s="22">
        <f t="shared" si="18"/>
        <v>0</v>
      </c>
      <c r="N50" s="22">
        <f t="shared" si="18"/>
        <v>0</v>
      </c>
      <c r="O50" s="22">
        <f t="shared" si="18"/>
        <v>0</v>
      </c>
      <c r="P50" s="22">
        <f t="shared" si="18"/>
        <v>0</v>
      </c>
      <c r="Q50" s="22">
        <f t="shared" si="18"/>
        <v>0</v>
      </c>
      <c r="R50" s="22">
        <f t="shared" si="18"/>
        <v>0</v>
      </c>
      <c r="S50" s="22">
        <f t="shared" si="18"/>
        <v>0</v>
      </c>
      <c r="T50" s="22">
        <f t="shared" si="18"/>
        <v>0</v>
      </c>
      <c r="U50" s="43"/>
    </row>
  </sheetData>
  <phoneticPr fontId="1"/>
  <conditionalFormatting sqref="Z6:Z36">
    <cfRule type="cellIs" dxfId="9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B1:AC50"/>
  <sheetViews>
    <sheetView topLeftCell="B1" zoomScale="70" zoomScaleNormal="70" workbookViewId="0">
      <pane xSplit="2" ySplit="5" topLeftCell="D6" activePane="bottomRight" state="frozen"/>
      <selection activeCell="D1" sqref="D1:Q2"/>
      <selection pane="topRight" activeCell="D1" sqref="D1:Q2"/>
      <selection pane="bottomLeft" activeCell="D1" sqref="D1:Q2"/>
      <selection pane="bottomRight" activeCell="T38" sqref="T38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33"/>
      <c r="I1" s="61"/>
      <c r="K1" s="38"/>
      <c r="M1" s="38"/>
      <c r="N1" s="62"/>
    </row>
    <row r="2" spans="2:29" ht="39.6" x14ac:dyDescent="0.2">
      <c r="B2" s="15" t="s">
        <v>6</v>
      </c>
      <c r="C2" s="11"/>
      <c r="D2" s="16"/>
      <c r="E2" s="16"/>
      <c r="F2" s="64"/>
      <c r="G2" s="16"/>
      <c r="H2" s="16"/>
      <c r="I2" s="64"/>
      <c r="J2" s="16"/>
      <c r="K2" s="16"/>
      <c r="L2" s="16"/>
      <c r="M2" s="16"/>
      <c r="N2" s="64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13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/>
      <c r="Q3" s="13"/>
      <c r="R3" s="13"/>
      <c r="S3" s="13" t="str">
        <f>IF(ISERROR(VLOOKUP(S2,件番!$A$3:$D$113,2,FALSE)),"",(VLOOKUP(S2,件番!$A$3:$D$113,2,FALSE)))</f>
        <v>2032B1008</v>
      </c>
      <c r="T3" s="13"/>
      <c r="U3" s="13"/>
    </row>
    <row r="4" spans="2:29" ht="27" customHeight="1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13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/>
      <c r="Q4" s="13"/>
      <c r="R4" s="13"/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13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/>
      <c r="Q5" s="13"/>
      <c r="R5" s="13"/>
      <c r="S5" s="13">
        <f>IF(ISERROR(VLOOKUP(S2,件番!$A$3:$D$113,2,FALSE)),"",(VLOOKUP(S2,件番!$A$3:$D$113,4,FALSE)))</f>
        <v>0</v>
      </c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46235</v>
      </c>
      <c r="C6" s="18" t="str">
        <f>TEXT(B6,"aaa")</f>
        <v>土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6" si="0">SUM(D6:S6)</f>
        <v>0</v>
      </c>
      <c r="U6" s="41"/>
      <c r="V6" s="2"/>
      <c r="W6" s="2"/>
      <c r="X6" s="2"/>
      <c r="Y6" s="20">
        <f t="shared" ref="Y6:Y36" si="1">(W6-V6-X6)*24</f>
        <v>0</v>
      </c>
      <c r="Z6" s="21">
        <f t="shared" ref="Z6:Z36" si="2">Y6-T6</f>
        <v>0</v>
      </c>
      <c r="AA6" s="21"/>
      <c r="AB6" s="20"/>
    </row>
    <row r="7" spans="2:29" x14ac:dyDescent="0.2">
      <c r="B7" s="17">
        <v>46236</v>
      </c>
      <c r="C7" s="18" t="str">
        <f t="shared" ref="C7:C35" si="3">TEXT(B7,"aaa")</f>
        <v>日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19"/>
      <c r="V7" s="2"/>
      <c r="W7" s="2"/>
      <c r="X7" s="2"/>
      <c r="Y7" s="20">
        <f t="shared" si="1"/>
        <v>0</v>
      </c>
      <c r="Z7" s="21">
        <f t="shared" si="2"/>
        <v>0</v>
      </c>
      <c r="AA7" s="21"/>
      <c r="AB7" s="20"/>
    </row>
    <row r="8" spans="2:29" x14ac:dyDescent="0.2">
      <c r="B8" s="17">
        <v>46237</v>
      </c>
      <c r="C8" s="18" t="str">
        <f t="shared" si="3"/>
        <v>月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19"/>
      <c r="V8" s="2">
        <v>0.375</v>
      </c>
      <c r="W8" s="2">
        <v>0.72916666666666663</v>
      </c>
      <c r="X8" s="2">
        <v>5.2083333333333336E-2</v>
      </c>
      <c r="Y8" s="20">
        <f t="shared" si="1"/>
        <v>7.25</v>
      </c>
      <c r="Z8" s="21">
        <f t="shared" si="2"/>
        <v>7.25</v>
      </c>
      <c r="AA8" s="21">
        <f t="shared" ref="AA8:AA12" si="4">AC8-AB8</f>
        <v>0</v>
      </c>
      <c r="AB8" s="20">
        <v>7.25</v>
      </c>
      <c r="AC8">
        <f t="shared" ref="AC8:AC12" si="5">ABS(Y8)</f>
        <v>7.25</v>
      </c>
    </row>
    <row r="9" spans="2:29" x14ac:dyDescent="0.2">
      <c r="B9" s="17">
        <v>46238</v>
      </c>
      <c r="C9" s="18" t="str">
        <f t="shared" si="3"/>
        <v>火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44"/>
      <c r="V9" s="2">
        <v>0.375</v>
      </c>
      <c r="W9" s="2">
        <v>0.72916666666666663</v>
      </c>
      <c r="X9" s="2">
        <v>5.2083333333333336E-2</v>
      </c>
      <c r="Y9" s="20">
        <f t="shared" si="1"/>
        <v>7.25</v>
      </c>
      <c r="Z9" s="21">
        <f t="shared" si="2"/>
        <v>7.25</v>
      </c>
      <c r="AA9" s="21">
        <f t="shared" si="4"/>
        <v>0</v>
      </c>
      <c r="AB9" s="20">
        <v>7.25</v>
      </c>
      <c r="AC9">
        <f t="shared" si="5"/>
        <v>7.25</v>
      </c>
    </row>
    <row r="10" spans="2:29" x14ac:dyDescent="0.2">
      <c r="B10" s="17">
        <v>46239</v>
      </c>
      <c r="C10" s="18" t="str">
        <f t="shared" si="3"/>
        <v>水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19"/>
      <c r="V10" s="2">
        <v>0.375</v>
      </c>
      <c r="W10" s="2">
        <v>0.72916666666666663</v>
      </c>
      <c r="X10" s="2">
        <v>5.2083333333333336E-2</v>
      </c>
      <c r="Y10" s="20">
        <f t="shared" si="1"/>
        <v>7.25</v>
      </c>
      <c r="Z10" s="21">
        <f t="shared" si="2"/>
        <v>7.25</v>
      </c>
      <c r="AA10" s="21">
        <f t="shared" si="4"/>
        <v>0</v>
      </c>
      <c r="AB10" s="20">
        <v>7.25</v>
      </c>
      <c r="AC10">
        <f t="shared" si="5"/>
        <v>7.25</v>
      </c>
    </row>
    <row r="11" spans="2:29" x14ac:dyDescent="0.2">
      <c r="B11" s="17">
        <v>46240</v>
      </c>
      <c r="C11" s="18" t="str">
        <f t="shared" si="3"/>
        <v>木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41"/>
      <c r="V11" s="2">
        <v>0.375</v>
      </c>
      <c r="W11" s="2">
        <v>0.72916666666666663</v>
      </c>
      <c r="X11" s="2">
        <v>5.2083333333333336E-2</v>
      </c>
      <c r="Y11" s="20">
        <f t="shared" si="1"/>
        <v>7.25</v>
      </c>
      <c r="Z11" s="21">
        <f t="shared" si="2"/>
        <v>7.25</v>
      </c>
      <c r="AA11" s="21">
        <f t="shared" si="4"/>
        <v>0</v>
      </c>
      <c r="AB11" s="20">
        <v>7.25</v>
      </c>
      <c r="AC11">
        <f t="shared" si="5"/>
        <v>7.25</v>
      </c>
    </row>
    <row r="12" spans="2:29" x14ac:dyDescent="0.2">
      <c r="B12" s="17">
        <v>46241</v>
      </c>
      <c r="C12" s="18" t="str">
        <f t="shared" si="3"/>
        <v>金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19"/>
      <c r="V12" s="2">
        <v>0.375</v>
      </c>
      <c r="W12" s="2">
        <v>0.72916666666666663</v>
      </c>
      <c r="X12" s="2">
        <v>5.2083333333333336E-2</v>
      </c>
      <c r="Y12" s="20">
        <f t="shared" si="1"/>
        <v>7.25</v>
      </c>
      <c r="Z12" s="21">
        <f t="shared" si="2"/>
        <v>7.25</v>
      </c>
      <c r="AA12" s="21">
        <f t="shared" si="4"/>
        <v>0</v>
      </c>
      <c r="AB12" s="20">
        <v>7.25</v>
      </c>
      <c r="AC12">
        <f t="shared" si="5"/>
        <v>7.25</v>
      </c>
    </row>
    <row r="13" spans="2:29" x14ac:dyDescent="0.2">
      <c r="B13" s="17">
        <v>46242</v>
      </c>
      <c r="C13" s="18" t="str">
        <f t="shared" si="3"/>
        <v>土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41"/>
      <c r="V13" s="2"/>
      <c r="W13" s="2"/>
      <c r="X13" s="2"/>
      <c r="Y13" s="20">
        <f t="shared" si="1"/>
        <v>0</v>
      </c>
      <c r="Z13" s="21">
        <f t="shared" si="2"/>
        <v>0</v>
      </c>
      <c r="AA13" s="21"/>
      <c r="AB13" s="20"/>
    </row>
    <row r="14" spans="2:29" x14ac:dyDescent="0.2">
      <c r="B14" s="17">
        <v>46243</v>
      </c>
      <c r="C14" s="18" t="str">
        <f t="shared" si="3"/>
        <v>日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45"/>
      <c r="V14" s="2"/>
      <c r="W14" s="2"/>
      <c r="X14" s="2"/>
      <c r="Y14" s="20">
        <f t="shared" si="1"/>
        <v>0</v>
      </c>
      <c r="Z14" s="21">
        <f t="shared" si="2"/>
        <v>0</v>
      </c>
      <c r="AA14" s="21"/>
      <c r="AB14" s="20"/>
    </row>
    <row r="15" spans="2:29" x14ac:dyDescent="0.2">
      <c r="B15" s="17">
        <v>46244</v>
      </c>
      <c r="C15" s="18" t="str">
        <f t="shared" si="3"/>
        <v>月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41"/>
      <c r="V15" s="2">
        <v>0.375</v>
      </c>
      <c r="W15" s="2">
        <v>0.72916666666666663</v>
      </c>
      <c r="X15" s="2">
        <v>5.2083333333333336E-2</v>
      </c>
      <c r="Y15" s="20">
        <f t="shared" si="1"/>
        <v>7.25</v>
      </c>
      <c r="Z15" s="21">
        <f t="shared" si="2"/>
        <v>7.25</v>
      </c>
      <c r="AA15" s="21">
        <f t="shared" ref="AA15:AA19" si="6">AC15-AB15</f>
        <v>0</v>
      </c>
      <c r="AB15" s="20">
        <v>7.25</v>
      </c>
      <c r="AC15">
        <f t="shared" ref="AC15:AC19" si="7">ABS(Y15)</f>
        <v>7.25</v>
      </c>
    </row>
    <row r="16" spans="2:29" x14ac:dyDescent="0.2">
      <c r="B16" s="17">
        <v>46245</v>
      </c>
      <c r="C16" s="18" t="str">
        <f t="shared" si="3"/>
        <v>火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39" t="s">
        <v>35</v>
      </c>
      <c r="V16" s="2"/>
      <c r="W16" s="2"/>
      <c r="X16" s="2"/>
      <c r="Y16" s="20">
        <f t="shared" si="1"/>
        <v>0</v>
      </c>
      <c r="Z16" s="21">
        <f t="shared" si="2"/>
        <v>0</v>
      </c>
      <c r="AA16" s="21"/>
      <c r="AB16" s="20"/>
    </row>
    <row r="17" spans="2:29" x14ac:dyDescent="0.2">
      <c r="B17" s="17">
        <v>46246</v>
      </c>
      <c r="C17" s="18" t="str">
        <f t="shared" si="3"/>
        <v>水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41"/>
      <c r="V17" s="2">
        <v>0.375</v>
      </c>
      <c r="W17" s="2">
        <v>0.72916666666666663</v>
      </c>
      <c r="X17" s="2">
        <v>5.2083333333333336E-2</v>
      </c>
      <c r="Y17" s="20">
        <f t="shared" si="1"/>
        <v>7.25</v>
      </c>
      <c r="Z17" s="21">
        <f t="shared" si="2"/>
        <v>7.25</v>
      </c>
      <c r="AA17" s="21">
        <f t="shared" si="6"/>
        <v>0</v>
      </c>
      <c r="AB17" s="20">
        <v>7.25</v>
      </c>
      <c r="AC17">
        <f t="shared" si="7"/>
        <v>7.25</v>
      </c>
    </row>
    <row r="18" spans="2:29" x14ac:dyDescent="0.2">
      <c r="B18" s="17">
        <v>46247</v>
      </c>
      <c r="C18" s="18" t="str">
        <f t="shared" si="3"/>
        <v>木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41"/>
      <c r="V18" s="2">
        <v>0.375</v>
      </c>
      <c r="W18" s="2">
        <v>0.72916666666666663</v>
      </c>
      <c r="X18" s="2">
        <v>5.2083333333333336E-2</v>
      </c>
      <c r="Y18" s="20">
        <f t="shared" si="1"/>
        <v>7.25</v>
      </c>
      <c r="Z18" s="21">
        <f t="shared" si="2"/>
        <v>7.25</v>
      </c>
      <c r="AA18" s="21">
        <f t="shared" si="6"/>
        <v>0</v>
      </c>
      <c r="AB18" s="20">
        <v>7.25</v>
      </c>
      <c r="AC18">
        <f t="shared" si="7"/>
        <v>7.25</v>
      </c>
    </row>
    <row r="19" spans="2:29" x14ac:dyDescent="0.2">
      <c r="B19" s="17">
        <v>46248</v>
      </c>
      <c r="C19" s="18" t="str">
        <f t="shared" si="3"/>
        <v>金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41"/>
      <c r="V19" s="2">
        <v>0.375</v>
      </c>
      <c r="W19" s="2">
        <v>0.72916666666666663</v>
      </c>
      <c r="X19" s="2">
        <v>5.2083333333333336E-2</v>
      </c>
      <c r="Y19" s="20">
        <f t="shared" si="1"/>
        <v>7.25</v>
      </c>
      <c r="Z19" s="21">
        <f t="shared" si="2"/>
        <v>7.25</v>
      </c>
      <c r="AA19" s="21">
        <f t="shared" si="6"/>
        <v>0</v>
      </c>
      <c r="AB19" s="20">
        <v>7.25</v>
      </c>
      <c r="AC19">
        <f t="shared" si="7"/>
        <v>7.25</v>
      </c>
    </row>
    <row r="20" spans="2:29" x14ac:dyDescent="0.2">
      <c r="B20" s="17">
        <v>46249</v>
      </c>
      <c r="C20" s="18" t="str">
        <f t="shared" si="3"/>
        <v>土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41"/>
      <c r="V20" s="2"/>
      <c r="W20" s="2"/>
      <c r="X20" s="2"/>
      <c r="Y20" s="20">
        <f t="shared" si="1"/>
        <v>0</v>
      </c>
      <c r="Z20" s="21">
        <f t="shared" si="2"/>
        <v>0</v>
      </c>
      <c r="AA20" s="21"/>
      <c r="AB20" s="20"/>
    </row>
    <row r="21" spans="2:29" x14ac:dyDescent="0.2">
      <c r="B21" s="17">
        <v>46250</v>
      </c>
      <c r="C21" s="18" t="str">
        <f t="shared" si="3"/>
        <v>日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41"/>
      <c r="V21" s="2"/>
      <c r="W21" s="2"/>
      <c r="X21" s="2"/>
      <c r="Y21" s="20">
        <f t="shared" si="1"/>
        <v>0</v>
      </c>
      <c r="Z21" s="21">
        <f t="shared" si="2"/>
        <v>0</v>
      </c>
      <c r="AA21" s="21"/>
      <c r="AB21" s="20"/>
    </row>
    <row r="22" spans="2:29" x14ac:dyDescent="0.2">
      <c r="B22" s="17">
        <v>46251</v>
      </c>
      <c r="C22" s="18" t="str">
        <f t="shared" si="3"/>
        <v>月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19"/>
      <c r="V22" s="2">
        <v>0.375</v>
      </c>
      <c r="W22" s="2">
        <v>0.72916666666666663</v>
      </c>
      <c r="X22" s="2">
        <v>5.2083333333333336E-2</v>
      </c>
      <c r="Y22" s="20">
        <f t="shared" si="1"/>
        <v>7.25</v>
      </c>
      <c r="Z22" s="21">
        <f t="shared" si="2"/>
        <v>7.25</v>
      </c>
      <c r="AA22" s="21">
        <f t="shared" ref="AA22:AA26" si="8">AC22-AB22</f>
        <v>0</v>
      </c>
      <c r="AB22" s="20">
        <v>7.25</v>
      </c>
      <c r="AC22">
        <f t="shared" ref="AC22:AC26" si="9">ABS(Y22)</f>
        <v>7.25</v>
      </c>
    </row>
    <row r="23" spans="2:29" x14ac:dyDescent="0.2">
      <c r="B23" s="17">
        <v>46252</v>
      </c>
      <c r="C23" s="18" t="str">
        <f t="shared" si="3"/>
        <v>火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19"/>
      <c r="V23" s="2">
        <v>0.375</v>
      </c>
      <c r="W23" s="2">
        <v>0.72916666666666663</v>
      </c>
      <c r="X23" s="2">
        <v>5.2083333333333336E-2</v>
      </c>
      <c r="Y23" s="20">
        <f t="shared" si="1"/>
        <v>7.25</v>
      </c>
      <c r="Z23" s="21">
        <f t="shared" si="2"/>
        <v>7.25</v>
      </c>
      <c r="AA23" s="21">
        <f t="shared" si="8"/>
        <v>0</v>
      </c>
      <c r="AB23" s="20">
        <v>7.25</v>
      </c>
      <c r="AC23">
        <f t="shared" si="9"/>
        <v>7.25</v>
      </c>
    </row>
    <row r="24" spans="2:29" x14ac:dyDescent="0.2">
      <c r="B24" s="17">
        <v>46253</v>
      </c>
      <c r="C24" s="18" t="str">
        <f t="shared" si="3"/>
        <v>水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19"/>
      <c r="V24" s="2">
        <v>0.375</v>
      </c>
      <c r="W24" s="2">
        <v>0.72916666666666663</v>
      </c>
      <c r="X24" s="2">
        <v>5.2083333333333336E-2</v>
      </c>
      <c r="Y24" s="20">
        <f t="shared" si="1"/>
        <v>7.25</v>
      </c>
      <c r="Z24" s="21">
        <f t="shared" si="2"/>
        <v>7.25</v>
      </c>
      <c r="AA24" s="21">
        <f t="shared" si="8"/>
        <v>0</v>
      </c>
      <c r="AB24" s="20">
        <v>7.25</v>
      </c>
      <c r="AC24">
        <f t="shared" si="9"/>
        <v>7.25</v>
      </c>
    </row>
    <row r="25" spans="2:29" x14ac:dyDescent="0.2">
      <c r="B25" s="17">
        <v>46254</v>
      </c>
      <c r="C25" s="18" t="str">
        <f t="shared" si="3"/>
        <v>木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41"/>
      <c r="V25" s="2">
        <v>0.375</v>
      </c>
      <c r="W25" s="2">
        <v>0.72916666666666663</v>
      </c>
      <c r="X25" s="2">
        <v>5.2083333333333336E-2</v>
      </c>
      <c r="Y25" s="20">
        <f t="shared" si="1"/>
        <v>7.25</v>
      </c>
      <c r="Z25" s="21">
        <f t="shared" si="2"/>
        <v>7.25</v>
      </c>
      <c r="AA25" s="21">
        <f t="shared" si="8"/>
        <v>0</v>
      </c>
      <c r="AB25" s="20">
        <v>7.25</v>
      </c>
      <c r="AC25">
        <f t="shared" si="9"/>
        <v>7.25</v>
      </c>
    </row>
    <row r="26" spans="2:29" x14ac:dyDescent="0.2">
      <c r="B26" s="17">
        <v>46255</v>
      </c>
      <c r="C26" s="18" t="str">
        <f t="shared" si="3"/>
        <v>金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19"/>
      <c r="V26" s="2">
        <v>0.375</v>
      </c>
      <c r="W26" s="2">
        <v>0.72916666666666663</v>
      </c>
      <c r="X26" s="2">
        <v>5.2083333333333336E-2</v>
      </c>
      <c r="Y26" s="20">
        <f t="shared" si="1"/>
        <v>7.25</v>
      </c>
      <c r="Z26" s="21">
        <f t="shared" si="2"/>
        <v>7.25</v>
      </c>
      <c r="AA26" s="21">
        <f t="shared" si="8"/>
        <v>0</v>
      </c>
      <c r="AB26" s="20">
        <v>7.25</v>
      </c>
      <c r="AC26">
        <f t="shared" si="9"/>
        <v>7.25</v>
      </c>
    </row>
    <row r="27" spans="2:29" x14ac:dyDescent="0.2">
      <c r="B27" s="17">
        <v>46256</v>
      </c>
      <c r="C27" s="18" t="str">
        <f t="shared" si="3"/>
        <v>土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19"/>
      <c r="V27" s="2"/>
      <c r="W27" s="2"/>
      <c r="X27" s="2"/>
      <c r="Y27" s="20">
        <f t="shared" si="1"/>
        <v>0</v>
      </c>
      <c r="Z27" s="21">
        <f t="shared" si="2"/>
        <v>0</v>
      </c>
      <c r="AA27" s="21"/>
      <c r="AB27" s="20"/>
    </row>
    <row r="28" spans="2:29" x14ac:dyDescent="0.2">
      <c r="B28" s="17">
        <v>46257</v>
      </c>
      <c r="C28" s="18" t="str">
        <f t="shared" si="3"/>
        <v>日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19"/>
      <c r="V28" s="2"/>
      <c r="W28" s="2"/>
      <c r="X28" s="2"/>
      <c r="Y28" s="20">
        <f t="shared" si="1"/>
        <v>0</v>
      </c>
      <c r="Z28" s="21">
        <f t="shared" si="2"/>
        <v>0</v>
      </c>
      <c r="AA28" s="21"/>
      <c r="AB28" s="20"/>
    </row>
    <row r="29" spans="2:29" x14ac:dyDescent="0.2">
      <c r="B29" s="17">
        <v>46258</v>
      </c>
      <c r="C29" s="18" t="str">
        <f t="shared" si="3"/>
        <v>月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19"/>
      <c r="V29" s="2">
        <v>0.375</v>
      </c>
      <c r="W29" s="2">
        <v>0.72916666666666663</v>
      </c>
      <c r="X29" s="2">
        <v>5.2083333333333336E-2</v>
      </c>
      <c r="Y29" s="20">
        <f t="shared" si="1"/>
        <v>7.25</v>
      </c>
      <c r="Z29" s="21">
        <f t="shared" si="2"/>
        <v>7.25</v>
      </c>
      <c r="AA29" s="21">
        <f t="shared" ref="AA29:AA33" si="10">AC29-AB29</f>
        <v>0</v>
      </c>
      <c r="AB29" s="20">
        <v>7.25</v>
      </c>
      <c r="AC29">
        <f t="shared" ref="AC29:AC33" si="11">ABS(Y29)</f>
        <v>7.25</v>
      </c>
    </row>
    <row r="30" spans="2:29" x14ac:dyDescent="0.2">
      <c r="B30" s="17">
        <v>46259</v>
      </c>
      <c r="C30" s="18" t="str">
        <f t="shared" si="3"/>
        <v>火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19"/>
      <c r="V30" s="2">
        <v>0.375</v>
      </c>
      <c r="W30" s="2">
        <v>0.72916666666666663</v>
      </c>
      <c r="X30" s="2">
        <v>5.2083333333333336E-2</v>
      </c>
      <c r="Y30" s="20">
        <f t="shared" si="1"/>
        <v>7.25</v>
      </c>
      <c r="Z30" s="21">
        <f t="shared" si="2"/>
        <v>7.25</v>
      </c>
      <c r="AA30" s="21">
        <f t="shared" si="10"/>
        <v>0</v>
      </c>
      <c r="AB30" s="20">
        <v>7.25</v>
      </c>
      <c r="AC30">
        <f t="shared" si="11"/>
        <v>7.25</v>
      </c>
    </row>
    <row r="31" spans="2:29" x14ac:dyDescent="0.2">
      <c r="B31" s="17">
        <v>46260</v>
      </c>
      <c r="C31" s="18" t="str">
        <f t="shared" si="3"/>
        <v>水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19"/>
      <c r="V31" s="2">
        <v>0.375</v>
      </c>
      <c r="W31" s="2">
        <v>0.72916666666666663</v>
      </c>
      <c r="X31" s="2">
        <v>5.2083333333333336E-2</v>
      </c>
      <c r="Y31" s="20">
        <f t="shared" si="1"/>
        <v>7.25</v>
      </c>
      <c r="Z31" s="21">
        <f t="shared" si="2"/>
        <v>7.25</v>
      </c>
      <c r="AA31" s="21">
        <f t="shared" si="10"/>
        <v>0</v>
      </c>
      <c r="AB31" s="20">
        <v>7.25</v>
      </c>
      <c r="AC31">
        <f t="shared" si="11"/>
        <v>7.25</v>
      </c>
    </row>
    <row r="32" spans="2:29" x14ac:dyDescent="0.2">
      <c r="B32" s="17">
        <v>46261</v>
      </c>
      <c r="C32" s="18" t="str">
        <f t="shared" si="3"/>
        <v>木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19"/>
      <c r="V32" s="2">
        <v>0.375</v>
      </c>
      <c r="W32" s="2">
        <v>0.72916666666666663</v>
      </c>
      <c r="X32" s="2">
        <v>5.2083333333333336E-2</v>
      </c>
      <c r="Y32" s="20">
        <f t="shared" si="1"/>
        <v>7.25</v>
      </c>
      <c r="Z32" s="21">
        <f t="shared" si="2"/>
        <v>7.25</v>
      </c>
      <c r="AA32" s="21">
        <f t="shared" si="10"/>
        <v>0</v>
      </c>
      <c r="AB32" s="20">
        <v>7.25</v>
      </c>
      <c r="AC32">
        <f t="shared" si="11"/>
        <v>7.25</v>
      </c>
    </row>
    <row r="33" spans="2:29" x14ac:dyDescent="0.2">
      <c r="B33" s="17">
        <v>46262</v>
      </c>
      <c r="C33" s="18" t="str">
        <f t="shared" si="3"/>
        <v>金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45"/>
      <c r="V33" s="2">
        <v>0.375</v>
      </c>
      <c r="W33" s="2">
        <v>0.72916666666666663</v>
      </c>
      <c r="X33" s="2">
        <v>5.2083333333333336E-2</v>
      </c>
      <c r="Y33" s="20">
        <f t="shared" si="1"/>
        <v>7.25</v>
      </c>
      <c r="Z33" s="21">
        <f t="shared" si="2"/>
        <v>7.25</v>
      </c>
      <c r="AA33" s="21">
        <f t="shared" si="10"/>
        <v>0</v>
      </c>
      <c r="AB33" s="20">
        <v>7.25</v>
      </c>
      <c r="AC33">
        <f t="shared" si="11"/>
        <v>7.25</v>
      </c>
    </row>
    <row r="34" spans="2:29" x14ac:dyDescent="0.2">
      <c r="B34" s="17">
        <v>46263</v>
      </c>
      <c r="C34" s="18" t="str">
        <f t="shared" si="3"/>
        <v>土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19"/>
      <c r="V34" s="2"/>
      <c r="W34" s="2"/>
      <c r="X34" s="2"/>
      <c r="Y34" s="20">
        <f t="shared" si="1"/>
        <v>0</v>
      </c>
      <c r="Z34" s="21">
        <f t="shared" si="2"/>
        <v>0</v>
      </c>
      <c r="AA34" s="21"/>
      <c r="AB34" s="20"/>
    </row>
    <row r="35" spans="2:29" x14ac:dyDescent="0.2">
      <c r="B35" s="17">
        <v>46264</v>
      </c>
      <c r="C35" s="18" t="str">
        <f t="shared" si="3"/>
        <v>日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19"/>
      <c r="V35" s="2"/>
      <c r="W35" s="2"/>
      <c r="X35" s="2"/>
      <c r="Y35" s="20">
        <f t="shared" si="1"/>
        <v>0</v>
      </c>
      <c r="Z35" s="21">
        <f t="shared" si="2"/>
        <v>0</v>
      </c>
      <c r="AA35" s="21"/>
      <c r="AB35" s="20"/>
    </row>
    <row r="36" spans="2:29" ht="13.8" thickBot="1" x14ac:dyDescent="0.25">
      <c r="B36" s="25">
        <v>46265</v>
      </c>
      <c r="C36" s="26" t="str">
        <f>TEXT(B36,"aaa")</f>
        <v>月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>
        <f t="shared" si="0"/>
        <v>0</v>
      </c>
      <c r="U36" s="27"/>
      <c r="V36" s="2">
        <v>0.375</v>
      </c>
      <c r="W36" s="2">
        <v>0.72916666666666663</v>
      </c>
      <c r="X36" s="2">
        <v>5.2083333333333336E-2</v>
      </c>
      <c r="Y36" s="20">
        <f t="shared" si="1"/>
        <v>7.25</v>
      </c>
      <c r="Z36" s="21">
        <f t="shared" si="2"/>
        <v>7.25</v>
      </c>
      <c r="AA36" s="21">
        <f t="shared" ref="AA36" si="12">AC36-AB36</f>
        <v>0</v>
      </c>
      <c r="AB36" s="20">
        <v>7.25</v>
      </c>
      <c r="AC36">
        <f t="shared" ref="AC36" si="13">ABS(Y36)</f>
        <v>7.25</v>
      </c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S37" si="14">SUM(E6:E36)</f>
        <v>0</v>
      </c>
      <c r="F37" s="22">
        <f t="shared" si="14"/>
        <v>0</v>
      </c>
      <c r="G37" s="22">
        <f t="shared" si="14"/>
        <v>0</v>
      </c>
      <c r="H37" s="22">
        <f t="shared" si="14"/>
        <v>0</v>
      </c>
      <c r="I37" s="22">
        <f t="shared" si="14"/>
        <v>0</v>
      </c>
      <c r="J37" s="22">
        <f t="shared" si="14"/>
        <v>0</v>
      </c>
      <c r="K37" s="22">
        <f t="shared" si="14"/>
        <v>0</v>
      </c>
      <c r="L37" s="22">
        <f t="shared" si="14"/>
        <v>0</v>
      </c>
      <c r="M37" s="22">
        <f t="shared" si="14"/>
        <v>0</v>
      </c>
      <c r="N37" s="22">
        <f t="shared" si="14"/>
        <v>0</v>
      </c>
      <c r="O37" s="22">
        <f t="shared" si="14"/>
        <v>0</v>
      </c>
      <c r="P37" s="22">
        <f t="shared" si="14"/>
        <v>0</v>
      </c>
      <c r="Q37" s="22">
        <f t="shared" si="14"/>
        <v>0</v>
      </c>
      <c r="R37" s="22">
        <f t="shared" si="14"/>
        <v>0</v>
      </c>
      <c r="S37" s="22">
        <f t="shared" si="14"/>
        <v>0</v>
      </c>
      <c r="T37" s="23">
        <f>SUM(T6:T36)</f>
        <v>0</v>
      </c>
      <c r="U37" s="24"/>
      <c r="V37" s="2"/>
      <c r="Y37" s="21"/>
      <c r="AA37" s="21">
        <f>SUM(AA6:AA36)</f>
        <v>0</v>
      </c>
      <c r="AB37" s="21">
        <f>SUM(AB6:AB36)</f>
        <v>145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17"/>
      <c r="C41" s="18" t="str">
        <f t="shared" ref="C41:C46" si="15">TEXT(B41,"aaa")</f>
        <v>土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>
        <f t="shared" ref="T41:T46" si="16">SUM(D41:S41)</f>
        <v>0</v>
      </c>
      <c r="U41" s="40"/>
    </row>
    <row r="42" spans="2:29" x14ac:dyDescent="0.2">
      <c r="B42" s="17"/>
      <c r="C42" s="18" t="str">
        <f t="shared" si="15"/>
        <v>土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>
        <f t="shared" si="16"/>
        <v>0</v>
      </c>
      <c r="U42" s="40"/>
    </row>
    <row r="43" spans="2:29" x14ac:dyDescent="0.2">
      <c r="B43" s="17"/>
      <c r="C43" s="18" t="str">
        <f t="shared" si="15"/>
        <v>土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>
        <f t="shared" si="16"/>
        <v>0</v>
      </c>
      <c r="U43" s="40"/>
    </row>
    <row r="44" spans="2:29" x14ac:dyDescent="0.2">
      <c r="B44" s="17"/>
      <c r="C44" s="18" t="str">
        <f t="shared" si="15"/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si="16"/>
        <v>0</v>
      </c>
      <c r="U44" s="40"/>
    </row>
    <row r="45" spans="2:29" x14ac:dyDescent="0.2">
      <c r="B45" s="17"/>
      <c r="C45" s="18" t="str">
        <f t="shared" si="15"/>
        <v>土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>
        <f t="shared" si="16"/>
        <v>0</v>
      </c>
      <c r="U45" s="40"/>
    </row>
    <row r="46" spans="2:29" x14ac:dyDescent="0.2">
      <c r="B46" s="17"/>
      <c r="C46" s="18" t="str">
        <f t="shared" si="15"/>
        <v>土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si="16"/>
        <v>0</v>
      </c>
      <c r="U46" s="40"/>
      <c r="W46" s="38"/>
    </row>
    <row r="47" spans="2:29" x14ac:dyDescent="0.2">
      <c r="B47" s="17"/>
      <c r="C47" s="18" t="str">
        <f t="shared" ref="C47" si="17">TEXT(B47,"aaa")</f>
        <v>土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>
        <f t="shared" ref="T47:T48" si="18">SUM(D47:S47)</f>
        <v>0</v>
      </c>
      <c r="U47" s="40"/>
    </row>
    <row r="48" spans="2:29" x14ac:dyDescent="0.2">
      <c r="B48" s="54"/>
      <c r="C48" s="18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>
        <f t="shared" si="18"/>
        <v>0</v>
      </c>
      <c r="U48" s="40"/>
      <c r="W48" s="38"/>
    </row>
    <row r="49" spans="2:21" ht="13.8" thickBot="1" x14ac:dyDescent="0.25">
      <c r="B49" s="25"/>
      <c r="C49" s="2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42"/>
    </row>
    <row r="50" spans="2:21" ht="13.8" thickTop="1" x14ac:dyDescent="0.2">
      <c r="B50" s="29" t="s">
        <v>21</v>
      </c>
      <c r="C50" s="22" t="s">
        <v>0</v>
      </c>
      <c r="D50" s="22">
        <f>SUM(D41:D49)</f>
        <v>0</v>
      </c>
      <c r="E50" s="22">
        <f t="shared" ref="E50:S50" si="19">SUM(E41:E49)</f>
        <v>0</v>
      </c>
      <c r="F50" s="22">
        <f t="shared" si="19"/>
        <v>0</v>
      </c>
      <c r="G50" s="22">
        <f t="shared" si="19"/>
        <v>0</v>
      </c>
      <c r="H50" s="22">
        <f t="shared" si="19"/>
        <v>0</v>
      </c>
      <c r="I50" s="22">
        <f t="shared" si="19"/>
        <v>0</v>
      </c>
      <c r="J50" s="22">
        <f t="shared" si="19"/>
        <v>0</v>
      </c>
      <c r="K50" s="22">
        <f t="shared" si="19"/>
        <v>0</v>
      </c>
      <c r="L50" s="22">
        <f t="shared" si="19"/>
        <v>0</v>
      </c>
      <c r="M50" s="22">
        <f t="shared" si="19"/>
        <v>0</v>
      </c>
      <c r="N50" s="22">
        <f t="shared" si="19"/>
        <v>0</v>
      </c>
      <c r="O50" s="22">
        <f t="shared" si="19"/>
        <v>0</v>
      </c>
      <c r="P50" s="22">
        <f t="shared" si="19"/>
        <v>0</v>
      </c>
      <c r="Q50" s="22">
        <f t="shared" si="19"/>
        <v>0</v>
      </c>
      <c r="R50" s="22">
        <f t="shared" si="19"/>
        <v>0</v>
      </c>
      <c r="S50" s="22">
        <f t="shared" si="19"/>
        <v>0</v>
      </c>
      <c r="T50" s="22">
        <f>SUM(T41:T49)</f>
        <v>0</v>
      </c>
      <c r="U50" s="43"/>
    </row>
  </sheetData>
  <phoneticPr fontId="1"/>
  <conditionalFormatting sqref="Z6:Z36">
    <cfRule type="cellIs" dxfId="8" priority="1" operator="notEqual">
      <formula>0</formula>
    </cfRule>
  </conditionalFormatting>
  <pageMargins left="0.51181102362204722" right="0.51181102362204722" top="0.74803149606299213" bottom="0.74803149606299213" header="0.31496062992125984" footer="0.31496062992125984"/>
  <pageSetup paperSize="9" scale="4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B1:AC50"/>
  <sheetViews>
    <sheetView topLeftCell="B1" zoomScale="70" zoomScaleNormal="70" workbookViewId="0">
      <pane xSplit="2" ySplit="5" topLeftCell="D6" activePane="bottomRight" state="frozen"/>
      <selection activeCell="D1" sqref="D1:Q2"/>
      <selection pane="topRight" activeCell="D1" sqref="D1:Q2"/>
      <selection pane="bottomLeft" activeCell="D1" sqref="D1:Q2"/>
      <selection pane="bottomRight" activeCell="T38" sqref="T38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33"/>
      <c r="I1" s="61"/>
      <c r="K1" s="38"/>
      <c r="M1" s="38"/>
      <c r="N1" s="62"/>
      <c r="R1" s="33"/>
    </row>
    <row r="2" spans="2:29" ht="39.6" x14ac:dyDescent="0.2">
      <c r="B2" s="15" t="s">
        <v>6</v>
      </c>
      <c r="C2" s="11"/>
      <c r="D2" s="16"/>
      <c r="E2" s="16"/>
      <c r="F2" s="64"/>
      <c r="G2" s="16"/>
      <c r="H2" s="16"/>
      <c r="I2" s="64"/>
      <c r="J2" s="16"/>
      <c r="K2" s="16"/>
      <c r="L2" s="16"/>
      <c r="M2" s="16"/>
      <c r="N2" s="64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13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 t="str">
        <f>IF(ISERROR(VLOOKUP(P2,件番!$A$10:$D$113,2,FALSE)),"",(VLOOKUP(P2,件番!$A$10:$D$113,2,FALSE)))</f>
        <v/>
      </c>
      <c r="Q3" s="13" t="str">
        <f>IF(ISERROR(VLOOKUP(Q2,件番!$A$10:$D$113,2,FALSE)),"",(VLOOKUP(Q2,件番!$A$10:$D$113,2,FALSE)))</f>
        <v/>
      </c>
      <c r="R3" s="13"/>
      <c r="S3" s="13" t="str">
        <f>IF(ISERROR(VLOOKUP(S2,件番!$A$3:$D$113,2,FALSE)),"",(VLOOKUP(S2,件番!$A$3:$D$113,2,FALSE)))</f>
        <v>2032B1008</v>
      </c>
      <c r="T3" s="13"/>
      <c r="U3" s="13"/>
    </row>
    <row r="4" spans="2:29" ht="27" customHeight="1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13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 t="str">
        <f>IF(ISERROR(VLOOKUP(P2,件番!$A$10:$D$113,2,FALSE)),"",(VLOOKUP(P2,件番!$A$10:$D$113,3,FALSE)))</f>
        <v/>
      </c>
      <c r="Q4" s="13" t="str">
        <f>IF(ISERROR(VLOOKUP(Q2,件番!$A$10:$D$113,2,FALSE)),"",(VLOOKUP(Q2,件番!$A$10:$D$113,3,FALSE)))</f>
        <v/>
      </c>
      <c r="R4" s="13"/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13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 t="str">
        <f>IF(ISERROR(VLOOKUP(P2,件番!$A$10:$D$113,2,FALSE)),"",(VLOOKUP(P2,件番!$A$10:$D$113,4,FALSE)))</f>
        <v/>
      </c>
      <c r="Q5" s="13" t="str">
        <f>IF(ISERROR(VLOOKUP(Q2,件番!$A$10:$D$113,2,FALSE)),"",(VLOOKUP(Q2,件番!$A$10:$D$113,4,FALSE)))</f>
        <v/>
      </c>
      <c r="R5" s="13"/>
      <c r="S5" s="13">
        <f>IF(ISERROR(VLOOKUP(S2,件番!$A$3:$D$113,2,FALSE)),"",(VLOOKUP(S2,件番!$A$3:$D$113,4,FALSE)))</f>
        <v>0</v>
      </c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46266</v>
      </c>
      <c r="C6" s="18" t="str">
        <f>TEXT(B6,"aaa")</f>
        <v>火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5" si="0">SUM(D6:S6)</f>
        <v>0</v>
      </c>
      <c r="U6" s="44"/>
      <c r="V6" s="2">
        <v>0.375</v>
      </c>
      <c r="W6" s="2">
        <v>0.72916666666666663</v>
      </c>
      <c r="X6" s="2">
        <v>5.2083333333333336E-2</v>
      </c>
      <c r="Y6" s="20">
        <f t="shared" ref="Y6:Y9" si="1">(W6-V6-X6)*24</f>
        <v>7.25</v>
      </c>
      <c r="Z6" s="21">
        <f t="shared" ref="Z6:Z9" si="2">Y6-T6</f>
        <v>7.25</v>
      </c>
      <c r="AA6" s="21">
        <f t="shared" ref="AA6:AA9" si="3">AC6-AB6</f>
        <v>0</v>
      </c>
      <c r="AB6" s="20">
        <v>7.25</v>
      </c>
      <c r="AC6">
        <f t="shared" ref="AC6:AC9" si="4">ABS(Y6)</f>
        <v>7.25</v>
      </c>
    </row>
    <row r="7" spans="2:29" x14ac:dyDescent="0.2">
      <c r="B7" s="17">
        <v>46267</v>
      </c>
      <c r="C7" s="18" t="str">
        <f t="shared" ref="C7:C35" si="5">TEXT(B7,"aaa")</f>
        <v>水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45"/>
      <c r="V7" s="2">
        <v>0.375</v>
      </c>
      <c r="W7" s="2">
        <v>0.72916666666666663</v>
      </c>
      <c r="X7" s="2">
        <v>5.2083333333333336E-2</v>
      </c>
      <c r="Y7" s="20">
        <f t="shared" si="1"/>
        <v>7.25</v>
      </c>
      <c r="Z7" s="21">
        <f t="shared" si="2"/>
        <v>7.25</v>
      </c>
      <c r="AA7" s="21">
        <f t="shared" si="3"/>
        <v>0</v>
      </c>
      <c r="AB7" s="20">
        <v>7.25</v>
      </c>
      <c r="AC7">
        <f t="shared" si="4"/>
        <v>7.25</v>
      </c>
    </row>
    <row r="8" spans="2:29" x14ac:dyDescent="0.2">
      <c r="B8" s="17">
        <v>46268</v>
      </c>
      <c r="C8" s="18" t="str">
        <f t="shared" si="5"/>
        <v>木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44"/>
      <c r="V8" s="2">
        <v>0.375</v>
      </c>
      <c r="W8" s="2">
        <v>0.72916666666666663</v>
      </c>
      <c r="X8" s="2">
        <v>5.2083333333333336E-2</v>
      </c>
      <c r="Y8" s="20">
        <f t="shared" si="1"/>
        <v>7.25</v>
      </c>
      <c r="Z8" s="21">
        <f t="shared" si="2"/>
        <v>7.25</v>
      </c>
      <c r="AA8" s="21">
        <f t="shared" si="3"/>
        <v>0</v>
      </c>
      <c r="AB8" s="20">
        <v>7.25</v>
      </c>
      <c r="AC8">
        <f t="shared" si="4"/>
        <v>7.25</v>
      </c>
    </row>
    <row r="9" spans="2:29" x14ac:dyDescent="0.2">
      <c r="B9" s="17">
        <v>46269</v>
      </c>
      <c r="C9" s="18" t="str">
        <f t="shared" si="5"/>
        <v>金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45"/>
      <c r="V9" s="2">
        <v>0.375</v>
      </c>
      <c r="W9" s="2">
        <v>0.72916666666666663</v>
      </c>
      <c r="X9" s="2">
        <v>5.2083333333333336E-2</v>
      </c>
      <c r="Y9" s="20">
        <f t="shared" si="1"/>
        <v>7.25</v>
      </c>
      <c r="Z9" s="21">
        <f t="shared" si="2"/>
        <v>7.25</v>
      </c>
      <c r="AA9" s="21">
        <f t="shared" si="3"/>
        <v>0</v>
      </c>
      <c r="AB9" s="20">
        <v>7.25</v>
      </c>
      <c r="AC9">
        <f t="shared" si="4"/>
        <v>7.25</v>
      </c>
    </row>
    <row r="10" spans="2:29" x14ac:dyDescent="0.2">
      <c r="B10" s="17">
        <v>46270</v>
      </c>
      <c r="C10" s="18" t="str">
        <f t="shared" si="5"/>
        <v>土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44"/>
      <c r="V10" s="2"/>
      <c r="W10" s="2"/>
      <c r="X10" s="2"/>
      <c r="Y10" s="20">
        <f t="shared" ref="Y10:Y35" si="6">(W10-V10-X10)*24</f>
        <v>0</v>
      </c>
      <c r="Z10" s="21">
        <f t="shared" ref="Z10:Z35" si="7">Y10-T10</f>
        <v>0</v>
      </c>
      <c r="AA10" s="21"/>
      <c r="AB10" s="20"/>
    </row>
    <row r="11" spans="2:29" x14ac:dyDescent="0.2">
      <c r="B11" s="17">
        <v>46271</v>
      </c>
      <c r="C11" s="18" t="str">
        <f t="shared" si="5"/>
        <v>日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44"/>
      <c r="V11" s="2"/>
      <c r="W11" s="2"/>
      <c r="X11" s="2"/>
      <c r="Y11" s="20">
        <f t="shared" si="6"/>
        <v>0</v>
      </c>
      <c r="Z11" s="21">
        <f t="shared" si="7"/>
        <v>0</v>
      </c>
      <c r="AA11" s="21"/>
      <c r="AB11" s="20"/>
    </row>
    <row r="12" spans="2:29" x14ac:dyDescent="0.2">
      <c r="B12" s="17">
        <v>46272</v>
      </c>
      <c r="C12" s="18" t="str">
        <f t="shared" si="5"/>
        <v>月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44"/>
      <c r="V12" s="2">
        <v>0.375</v>
      </c>
      <c r="W12" s="2">
        <v>0.72916666666666663</v>
      </c>
      <c r="X12" s="2">
        <v>5.2083333333333336E-2</v>
      </c>
      <c r="Y12" s="20">
        <f t="shared" si="6"/>
        <v>7.25</v>
      </c>
      <c r="Z12" s="21">
        <f t="shared" si="7"/>
        <v>7.25</v>
      </c>
      <c r="AA12" s="21">
        <f t="shared" ref="AA12:AA16" si="8">AC12-AB12</f>
        <v>0</v>
      </c>
      <c r="AB12" s="20">
        <v>7.25</v>
      </c>
      <c r="AC12">
        <f t="shared" ref="AC12:AC16" si="9">ABS(Y12)</f>
        <v>7.25</v>
      </c>
    </row>
    <row r="13" spans="2:29" x14ac:dyDescent="0.2">
      <c r="B13" s="17">
        <v>46273</v>
      </c>
      <c r="C13" s="18" t="str">
        <f t="shared" si="5"/>
        <v>火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44"/>
      <c r="V13" s="2">
        <v>0.375</v>
      </c>
      <c r="W13" s="2">
        <v>0.72916666666666663</v>
      </c>
      <c r="X13" s="2">
        <v>5.2083333333333336E-2</v>
      </c>
      <c r="Y13" s="20">
        <f t="shared" si="6"/>
        <v>7.25</v>
      </c>
      <c r="Z13" s="21">
        <f t="shared" si="7"/>
        <v>7.25</v>
      </c>
      <c r="AA13" s="21">
        <f t="shared" si="8"/>
        <v>0</v>
      </c>
      <c r="AB13" s="20">
        <v>7.25</v>
      </c>
      <c r="AC13">
        <f t="shared" si="9"/>
        <v>7.25</v>
      </c>
    </row>
    <row r="14" spans="2:29" x14ac:dyDescent="0.2">
      <c r="B14" s="17">
        <v>46274</v>
      </c>
      <c r="C14" s="18" t="str">
        <f t="shared" si="5"/>
        <v>水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45"/>
      <c r="V14" s="2">
        <v>0.375</v>
      </c>
      <c r="W14" s="2">
        <v>0.72916666666666663</v>
      </c>
      <c r="X14" s="2">
        <v>5.2083333333333336E-2</v>
      </c>
      <c r="Y14" s="20">
        <f t="shared" si="6"/>
        <v>7.25</v>
      </c>
      <c r="Z14" s="21">
        <f t="shared" si="7"/>
        <v>7.25</v>
      </c>
      <c r="AA14" s="21">
        <f t="shared" si="8"/>
        <v>0</v>
      </c>
      <c r="AB14" s="20">
        <v>7.25</v>
      </c>
      <c r="AC14">
        <f t="shared" si="9"/>
        <v>7.25</v>
      </c>
    </row>
    <row r="15" spans="2:29" x14ac:dyDescent="0.2">
      <c r="B15" s="17">
        <v>46275</v>
      </c>
      <c r="C15" s="18" t="str">
        <f t="shared" si="5"/>
        <v>木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44"/>
      <c r="V15" s="2">
        <v>0.375</v>
      </c>
      <c r="W15" s="2">
        <v>0.72916666666666663</v>
      </c>
      <c r="X15" s="2">
        <v>5.2083333333333336E-2</v>
      </c>
      <c r="Y15" s="20">
        <f t="shared" si="6"/>
        <v>7.25</v>
      </c>
      <c r="Z15" s="21">
        <f t="shared" si="7"/>
        <v>7.25</v>
      </c>
      <c r="AA15" s="21">
        <f t="shared" si="8"/>
        <v>0</v>
      </c>
      <c r="AB15" s="20">
        <v>7.25</v>
      </c>
      <c r="AC15">
        <f t="shared" si="9"/>
        <v>7.25</v>
      </c>
    </row>
    <row r="16" spans="2:29" x14ac:dyDescent="0.2">
      <c r="B16" s="17">
        <v>46276</v>
      </c>
      <c r="C16" s="18" t="str">
        <f t="shared" si="5"/>
        <v>金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44"/>
      <c r="V16" s="2">
        <v>0.375</v>
      </c>
      <c r="W16" s="2">
        <v>0.72916666666666663</v>
      </c>
      <c r="X16" s="2">
        <v>5.2083333333333336E-2</v>
      </c>
      <c r="Y16" s="20">
        <f t="shared" si="6"/>
        <v>7.25</v>
      </c>
      <c r="Z16" s="21">
        <f t="shared" si="7"/>
        <v>7.25</v>
      </c>
      <c r="AA16" s="21">
        <f t="shared" si="8"/>
        <v>0</v>
      </c>
      <c r="AB16" s="20">
        <v>7.25</v>
      </c>
      <c r="AC16">
        <f t="shared" si="9"/>
        <v>7.25</v>
      </c>
    </row>
    <row r="17" spans="2:29" x14ac:dyDescent="0.2">
      <c r="B17" s="17">
        <v>46277</v>
      </c>
      <c r="C17" s="18" t="str">
        <f t="shared" si="5"/>
        <v>土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44"/>
      <c r="V17" s="2"/>
      <c r="W17" s="2"/>
      <c r="X17" s="2"/>
      <c r="Y17" s="20">
        <f t="shared" si="6"/>
        <v>0</v>
      </c>
      <c r="Z17" s="21">
        <f t="shared" si="7"/>
        <v>0</v>
      </c>
      <c r="AA17" s="21"/>
      <c r="AB17" s="20"/>
    </row>
    <row r="18" spans="2:29" x14ac:dyDescent="0.2">
      <c r="B18" s="17">
        <v>46278</v>
      </c>
      <c r="C18" s="18" t="str">
        <f t="shared" si="5"/>
        <v>日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44"/>
      <c r="V18" s="2"/>
      <c r="W18" s="2"/>
      <c r="X18" s="2"/>
      <c r="Y18" s="20">
        <f t="shared" si="6"/>
        <v>0</v>
      </c>
      <c r="Z18" s="21">
        <f t="shared" si="7"/>
        <v>0</v>
      </c>
      <c r="AA18" s="21"/>
      <c r="AB18" s="20"/>
    </row>
    <row r="19" spans="2:29" x14ac:dyDescent="0.2">
      <c r="B19" s="17">
        <v>46279</v>
      </c>
      <c r="C19" s="18" t="str">
        <f t="shared" si="5"/>
        <v>月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44"/>
      <c r="V19" s="2">
        <v>0.375</v>
      </c>
      <c r="W19" s="2">
        <v>0.72916666666666663</v>
      </c>
      <c r="X19" s="2">
        <v>5.2083333333333336E-2</v>
      </c>
      <c r="Y19" s="20">
        <f t="shared" si="6"/>
        <v>7.25</v>
      </c>
      <c r="Z19" s="21">
        <f t="shared" si="7"/>
        <v>7.25</v>
      </c>
      <c r="AA19" s="21">
        <f t="shared" ref="AA19:AA23" si="10">AC19-AB19</f>
        <v>0</v>
      </c>
      <c r="AB19" s="20">
        <v>7.25</v>
      </c>
      <c r="AC19">
        <f t="shared" ref="AC19:AC23" si="11">ABS(Y19)</f>
        <v>7.25</v>
      </c>
    </row>
    <row r="20" spans="2:29" x14ac:dyDescent="0.2">
      <c r="B20" s="17">
        <v>46280</v>
      </c>
      <c r="C20" s="18" t="str">
        <f t="shared" si="5"/>
        <v>火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45"/>
      <c r="V20" s="2">
        <v>0.375</v>
      </c>
      <c r="W20" s="2">
        <v>0.72916666666666663</v>
      </c>
      <c r="X20" s="2">
        <v>5.2083333333333336E-2</v>
      </c>
      <c r="Y20" s="20">
        <f t="shared" si="6"/>
        <v>7.25</v>
      </c>
      <c r="Z20" s="21">
        <f t="shared" si="7"/>
        <v>7.25</v>
      </c>
      <c r="AA20" s="21">
        <f t="shared" si="10"/>
        <v>0</v>
      </c>
      <c r="AB20" s="20">
        <v>7.25</v>
      </c>
      <c r="AC20">
        <f t="shared" si="11"/>
        <v>7.25</v>
      </c>
    </row>
    <row r="21" spans="2:29" x14ac:dyDescent="0.2">
      <c r="B21" s="17">
        <v>46281</v>
      </c>
      <c r="C21" s="18" t="str">
        <f t="shared" si="5"/>
        <v>水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44"/>
      <c r="V21" s="2">
        <v>0.375</v>
      </c>
      <c r="W21" s="2">
        <v>0.72916666666666663</v>
      </c>
      <c r="X21" s="2">
        <v>5.2083333333333336E-2</v>
      </c>
      <c r="Y21" s="20">
        <f t="shared" si="6"/>
        <v>7.25</v>
      </c>
      <c r="Z21" s="21">
        <f t="shared" si="7"/>
        <v>7.25</v>
      </c>
      <c r="AA21" s="21">
        <f t="shared" si="10"/>
        <v>0</v>
      </c>
      <c r="AB21" s="20">
        <v>7.25</v>
      </c>
      <c r="AC21">
        <f t="shared" si="11"/>
        <v>7.25</v>
      </c>
    </row>
    <row r="22" spans="2:29" x14ac:dyDescent="0.2">
      <c r="B22" s="17">
        <v>46282</v>
      </c>
      <c r="C22" s="18" t="str">
        <f t="shared" si="5"/>
        <v>木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44"/>
      <c r="V22" s="2">
        <v>0.375</v>
      </c>
      <c r="W22" s="2">
        <v>0.72916666666666663</v>
      </c>
      <c r="X22" s="2">
        <v>5.2083333333333336E-2</v>
      </c>
      <c r="Y22" s="20">
        <f t="shared" si="6"/>
        <v>7.25</v>
      </c>
      <c r="Z22" s="21">
        <f t="shared" si="7"/>
        <v>7.25</v>
      </c>
      <c r="AA22" s="21">
        <f t="shared" si="10"/>
        <v>0</v>
      </c>
      <c r="AB22" s="20">
        <v>7.25</v>
      </c>
      <c r="AC22">
        <f t="shared" si="11"/>
        <v>7.25</v>
      </c>
    </row>
    <row r="23" spans="2:29" x14ac:dyDescent="0.2">
      <c r="B23" s="17">
        <v>46283</v>
      </c>
      <c r="C23" s="18" t="str">
        <f t="shared" si="5"/>
        <v>金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45"/>
      <c r="V23" s="2">
        <v>0.375</v>
      </c>
      <c r="W23" s="2">
        <v>0.72916666666666663</v>
      </c>
      <c r="X23" s="2">
        <v>5.2083333333333336E-2</v>
      </c>
      <c r="Y23" s="20">
        <f t="shared" si="6"/>
        <v>7.25</v>
      </c>
      <c r="Z23" s="21">
        <f t="shared" si="7"/>
        <v>7.25</v>
      </c>
      <c r="AA23" s="21">
        <f t="shared" si="10"/>
        <v>0</v>
      </c>
      <c r="AB23" s="20">
        <v>7.25</v>
      </c>
      <c r="AC23">
        <f t="shared" si="11"/>
        <v>7.25</v>
      </c>
    </row>
    <row r="24" spans="2:29" x14ac:dyDescent="0.2">
      <c r="B24" s="17">
        <v>46284</v>
      </c>
      <c r="C24" s="18" t="str">
        <f t="shared" si="5"/>
        <v>土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48"/>
      <c r="V24" s="2"/>
      <c r="W24" s="2"/>
      <c r="X24" s="2"/>
      <c r="Y24" s="20">
        <f t="shared" si="6"/>
        <v>0</v>
      </c>
      <c r="Z24" s="21">
        <f t="shared" si="7"/>
        <v>0</v>
      </c>
      <c r="AA24" s="21"/>
      <c r="AB24" s="20"/>
    </row>
    <row r="25" spans="2:29" x14ac:dyDescent="0.2">
      <c r="B25" s="17">
        <v>46285</v>
      </c>
      <c r="C25" s="18" t="str">
        <f t="shared" si="5"/>
        <v>日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48"/>
      <c r="V25" s="2"/>
      <c r="W25" s="2"/>
      <c r="X25" s="2"/>
      <c r="Y25" s="20">
        <f t="shared" si="6"/>
        <v>0</v>
      </c>
      <c r="Z25" s="21">
        <f t="shared" si="7"/>
        <v>0</v>
      </c>
      <c r="AA25" s="21"/>
      <c r="AB25" s="20"/>
    </row>
    <row r="26" spans="2:29" x14ac:dyDescent="0.2">
      <c r="B26" s="17">
        <v>46286</v>
      </c>
      <c r="C26" s="18" t="str">
        <f t="shared" si="5"/>
        <v>月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45" t="s">
        <v>108</v>
      </c>
      <c r="V26" s="2"/>
      <c r="W26" s="2"/>
      <c r="X26" s="2"/>
      <c r="Y26" s="20">
        <f t="shared" si="6"/>
        <v>0</v>
      </c>
      <c r="Z26" s="21">
        <f t="shared" si="7"/>
        <v>0</v>
      </c>
      <c r="AA26" s="21"/>
      <c r="AB26" s="20"/>
    </row>
    <row r="27" spans="2:29" x14ac:dyDescent="0.2">
      <c r="B27" s="17">
        <v>46287</v>
      </c>
      <c r="C27" s="18" t="str">
        <f t="shared" si="5"/>
        <v>火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45" t="s">
        <v>169</v>
      </c>
      <c r="V27" s="2"/>
      <c r="W27" s="2"/>
      <c r="X27" s="2"/>
      <c r="Y27" s="20">
        <f t="shared" si="6"/>
        <v>0</v>
      </c>
      <c r="Z27" s="21">
        <f t="shared" si="7"/>
        <v>0</v>
      </c>
      <c r="AA27" s="21"/>
      <c r="AB27" s="20"/>
    </row>
    <row r="28" spans="2:29" x14ac:dyDescent="0.2">
      <c r="B28" s="17">
        <v>46288</v>
      </c>
      <c r="C28" s="18" t="str">
        <f t="shared" si="5"/>
        <v>水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45" t="s">
        <v>127</v>
      </c>
      <c r="V28" s="2"/>
      <c r="W28" s="2"/>
      <c r="X28" s="2"/>
      <c r="Y28" s="20">
        <f t="shared" si="6"/>
        <v>0</v>
      </c>
      <c r="Z28" s="21">
        <f t="shared" si="7"/>
        <v>0</v>
      </c>
      <c r="AA28" s="21"/>
      <c r="AB28" s="20"/>
    </row>
    <row r="29" spans="2:29" x14ac:dyDescent="0.2">
      <c r="B29" s="17">
        <v>46289</v>
      </c>
      <c r="C29" s="18" t="str">
        <f t="shared" si="5"/>
        <v>木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48"/>
      <c r="V29" s="2">
        <v>0.375</v>
      </c>
      <c r="W29" s="2">
        <v>0.72916666666666663</v>
      </c>
      <c r="X29" s="2">
        <v>5.2083333333333336E-2</v>
      </c>
      <c r="Y29" s="20">
        <f t="shared" si="6"/>
        <v>7.25</v>
      </c>
      <c r="Z29" s="21">
        <f t="shared" si="7"/>
        <v>7.25</v>
      </c>
      <c r="AA29" s="21">
        <f t="shared" ref="AA29:AA30" si="12">AC29-AB29</f>
        <v>0</v>
      </c>
      <c r="AB29" s="20">
        <v>7.25</v>
      </c>
      <c r="AC29">
        <f t="shared" ref="AC29:AC30" si="13">ABS(Y29)</f>
        <v>7.25</v>
      </c>
    </row>
    <row r="30" spans="2:29" x14ac:dyDescent="0.2">
      <c r="B30" s="17">
        <v>46290</v>
      </c>
      <c r="C30" s="18" t="str">
        <f t="shared" si="5"/>
        <v>金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8"/>
      <c r="V30" s="2">
        <v>0.375</v>
      </c>
      <c r="W30" s="2">
        <v>0.72916666666666663</v>
      </c>
      <c r="X30" s="2">
        <v>5.2083333333333336E-2</v>
      </c>
      <c r="Y30" s="20">
        <f t="shared" si="6"/>
        <v>7.25</v>
      </c>
      <c r="Z30" s="21">
        <f t="shared" si="7"/>
        <v>7.25</v>
      </c>
      <c r="AA30" s="21">
        <f t="shared" si="12"/>
        <v>0</v>
      </c>
      <c r="AB30" s="20">
        <v>7.25</v>
      </c>
      <c r="AC30">
        <f t="shared" si="13"/>
        <v>7.25</v>
      </c>
    </row>
    <row r="31" spans="2:29" x14ac:dyDescent="0.2">
      <c r="B31" s="17">
        <v>46291</v>
      </c>
      <c r="C31" s="18" t="str">
        <f t="shared" si="5"/>
        <v>土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48"/>
      <c r="V31" s="2"/>
      <c r="W31" s="2"/>
      <c r="X31" s="2"/>
      <c r="Y31" s="20">
        <f t="shared" si="6"/>
        <v>0</v>
      </c>
      <c r="Z31" s="21">
        <f t="shared" si="7"/>
        <v>0</v>
      </c>
      <c r="AA31" s="21"/>
      <c r="AB31" s="20"/>
    </row>
    <row r="32" spans="2:29" x14ac:dyDescent="0.2">
      <c r="B32" s="17">
        <v>46292</v>
      </c>
      <c r="C32" s="18" t="str">
        <f t="shared" si="5"/>
        <v>日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44"/>
      <c r="V32" s="2"/>
      <c r="W32" s="2"/>
      <c r="X32" s="2"/>
      <c r="Y32" s="20">
        <f t="shared" si="6"/>
        <v>0</v>
      </c>
      <c r="Z32" s="21">
        <f t="shared" si="7"/>
        <v>0</v>
      </c>
      <c r="AA32" s="21"/>
      <c r="AB32" s="20"/>
    </row>
    <row r="33" spans="2:29" x14ac:dyDescent="0.2">
      <c r="B33" s="17">
        <v>46293</v>
      </c>
      <c r="C33" s="18" t="str">
        <f t="shared" si="5"/>
        <v>月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48"/>
      <c r="V33" s="2">
        <v>0.375</v>
      </c>
      <c r="W33" s="2">
        <v>0.72916666666666663</v>
      </c>
      <c r="X33" s="2">
        <v>5.2083333333333336E-2</v>
      </c>
      <c r="Y33" s="20">
        <f t="shared" si="6"/>
        <v>7.25</v>
      </c>
      <c r="Z33" s="21">
        <f t="shared" si="7"/>
        <v>7.25</v>
      </c>
      <c r="AA33" s="21">
        <f t="shared" ref="AA33:AA35" si="14">AC33-AB33</f>
        <v>0</v>
      </c>
      <c r="AB33" s="20">
        <v>7.25</v>
      </c>
      <c r="AC33">
        <f t="shared" ref="AC33:AC35" si="15">ABS(Y33)</f>
        <v>7.25</v>
      </c>
    </row>
    <row r="34" spans="2:29" x14ac:dyDescent="0.2">
      <c r="B34" s="17">
        <v>46294</v>
      </c>
      <c r="C34" s="18" t="str">
        <f t="shared" si="5"/>
        <v>火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44"/>
      <c r="V34" s="2">
        <v>0.375</v>
      </c>
      <c r="W34" s="2">
        <v>0.72916666666666663</v>
      </c>
      <c r="X34" s="2">
        <v>5.2083333333333336E-2</v>
      </c>
      <c r="Y34" s="20">
        <f t="shared" si="6"/>
        <v>7.25</v>
      </c>
      <c r="Z34" s="21">
        <f t="shared" si="7"/>
        <v>7.25</v>
      </c>
      <c r="AA34" s="21">
        <f t="shared" si="14"/>
        <v>0</v>
      </c>
      <c r="AB34" s="20">
        <v>7.25</v>
      </c>
      <c r="AC34">
        <f t="shared" si="15"/>
        <v>7.25</v>
      </c>
    </row>
    <row r="35" spans="2:29" x14ac:dyDescent="0.2">
      <c r="B35" s="17">
        <v>46295</v>
      </c>
      <c r="C35" s="18" t="str">
        <f t="shared" si="5"/>
        <v>水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44"/>
      <c r="V35" s="2">
        <v>0.375</v>
      </c>
      <c r="W35" s="2">
        <v>0.72916666666666663</v>
      </c>
      <c r="X35" s="2">
        <v>5.2083333333333336E-2</v>
      </c>
      <c r="Y35" s="20">
        <f t="shared" si="6"/>
        <v>7.25</v>
      </c>
      <c r="Z35" s="21">
        <f t="shared" si="7"/>
        <v>7.25</v>
      </c>
      <c r="AA35" s="21">
        <f t="shared" si="14"/>
        <v>0</v>
      </c>
      <c r="AB35" s="20">
        <v>7.25</v>
      </c>
      <c r="AC35">
        <f t="shared" si="15"/>
        <v>7.25</v>
      </c>
    </row>
    <row r="36" spans="2:29" ht="13.8" thickBo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/>
      <c r="U36" s="49"/>
      <c r="V36" s="2"/>
      <c r="W36" s="2"/>
      <c r="X36" s="2"/>
      <c r="Y36" s="20"/>
      <c r="Z36" s="21"/>
      <c r="AA36" s="21"/>
      <c r="AB36" s="20"/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T37" si="16">SUM(E6:E36)</f>
        <v>0</v>
      </c>
      <c r="F37" s="22">
        <f t="shared" si="16"/>
        <v>0</v>
      </c>
      <c r="G37" s="22">
        <f t="shared" si="16"/>
        <v>0</v>
      </c>
      <c r="H37" s="22">
        <f t="shared" si="16"/>
        <v>0</v>
      </c>
      <c r="I37" s="22">
        <f t="shared" si="16"/>
        <v>0</v>
      </c>
      <c r="J37" s="22">
        <f t="shared" si="16"/>
        <v>0</v>
      </c>
      <c r="K37" s="22">
        <f t="shared" si="16"/>
        <v>0</v>
      </c>
      <c r="L37" s="22">
        <f t="shared" si="16"/>
        <v>0</v>
      </c>
      <c r="M37" s="22">
        <f t="shared" si="16"/>
        <v>0</v>
      </c>
      <c r="N37" s="22">
        <f t="shared" si="16"/>
        <v>0</v>
      </c>
      <c r="O37" s="22">
        <f t="shared" si="16"/>
        <v>0</v>
      </c>
      <c r="P37" s="22">
        <f>SUM(P6:P36)</f>
        <v>0</v>
      </c>
      <c r="Q37" s="22">
        <f t="shared" si="16"/>
        <v>0</v>
      </c>
      <c r="R37" s="22">
        <f t="shared" si="16"/>
        <v>0</v>
      </c>
      <c r="S37" s="22">
        <f t="shared" si="16"/>
        <v>0</v>
      </c>
      <c r="T37" s="23">
        <f t="shared" si="16"/>
        <v>0</v>
      </c>
      <c r="U37" s="24"/>
      <c r="V37" s="2"/>
      <c r="Y37" s="21"/>
      <c r="AA37" s="21">
        <f>SUM(AA6:AA36)</f>
        <v>0</v>
      </c>
      <c r="AB37" s="21">
        <f>SUM(AB6:AB36)</f>
        <v>137.75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17"/>
      <c r="C41" s="18" t="str">
        <f t="shared" ref="C41:C46" si="17">TEXT(B41,"aaa")</f>
        <v>土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>
        <f t="shared" ref="T41:T47" si="18">SUM(D41:S41)</f>
        <v>0</v>
      </c>
      <c r="U41" s="40"/>
    </row>
    <row r="42" spans="2:29" x14ac:dyDescent="0.2">
      <c r="B42" s="17"/>
      <c r="C42" s="18" t="str">
        <f t="shared" si="17"/>
        <v>土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>
        <f t="shared" si="18"/>
        <v>0</v>
      </c>
      <c r="U42" s="40"/>
    </row>
    <row r="43" spans="2:29" x14ac:dyDescent="0.2">
      <c r="B43" s="17"/>
      <c r="C43" s="18" t="str">
        <f t="shared" si="17"/>
        <v>土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>
        <f t="shared" si="18"/>
        <v>0</v>
      </c>
      <c r="U43" s="40"/>
    </row>
    <row r="44" spans="2:29" x14ac:dyDescent="0.2">
      <c r="B44" s="17"/>
      <c r="C44" s="18" t="str">
        <f t="shared" si="17"/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si="18"/>
        <v>0</v>
      </c>
      <c r="U44" s="40"/>
    </row>
    <row r="45" spans="2:29" x14ac:dyDescent="0.2">
      <c r="B45" s="17"/>
      <c r="C45" s="18" t="str">
        <f t="shared" si="17"/>
        <v>土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>
        <f t="shared" si="18"/>
        <v>0</v>
      </c>
      <c r="U45" s="40"/>
    </row>
    <row r="46" spans="2:29" x14ac:dyDescent="0.2">
      <c r="B46" s="17"/>
      <c r="C46" s="18" t="str">
        <f t="shared" si="17"/>
        <v>土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si="18"/>
        <v>0</v>
      </c>
      <c r="U46" s="40"/>
    </row>
    <row r="47" spans="2:29" x14ac:dyDescent="0.2">
      <c r="B47" s="54"/>
      <c r="C47" s="18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34">
        <f t="shared" si="18"/>
        <v>0</v>
      </c>
      <c r="U47" s="40"/>
      <c r="W47" s="38"/>
    </row>
    <row r="48" spans="2:29" x14ac:dyDescent="0.2">
      <c r="B48" s="54"/>
      <c r="C48" s="18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34"/>
      <c r="U48" s="40"/>
      <c r="W48" s="38"/>
    </row>
    <row r="49" spans="2:21" ht="13.8" thickBot="1" x14ac:dyDescent="0.25">
      <c r="B49" s="25"/>
      <c r="C49" s="2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42"/>
    </row>
    <row r="50" spans="2:21" ht="13.8" thickTop="1" x14ac:dyDescent="0.2">
      <c r="B50" s="29" t="s">
        <v>21</v>
      </c>
      <c r="C50" s="22" t="s">
        <v>0</v>
      </c>
      <c r="D50" s="22">
        <f t="shared" ref="D50:T50" si="19">SUM(D41:D49)</f>
        <v>0</v>
      </c>
      <c r="E50" s="22">
        <f t="shared" si="19"/>
        <v>0</v>
      </c>
      <c r="F50" s="22">
        <f t="shared" si="19"/>
        <v>0</v>
      </c>
      <c r="G50" s="22">
        <f t="shared" si="19"/>
        <v>0</v>
      </c>
      <c r="H50" s="22">
        <f t="shared" si="19"/>
        <v>0</v>
      </c>
      <c r="I50" s="22">
        <f t="shared" si="19"/>
        <v>0</v>
      </c>
      <c r="J50" s="22">
        <f t="shared" si="19"/>
        <v>0</v>
      </c>
      <c r="K50" s="22">
        <f t="shared" si="19"/>
        <v>0</v>
      </c>
      <c r="L50" s="22">
        <f t="shared" si="19"/>
        <v>0</v>
      </c>
      <c r="M50" s="22">
        <f t="shared" si="19"/>
        <v>0</v>
      </c>
      <c r="N50" s="22">
        <f t="shared" si="19"/>
        <v>0</v>
      </c>
      <c r="O50" s="22">
        <f t="shared" si="19"/>
        <v>0</v>
      </c>
      <c r="P50" s="22">
        <f t="shared" si="19"/>
        <v>0</v>
      </c>
      <c r="Q50" s="22">
        <f t="shared" si="19"/>
        <v>0</v>
      </c>
      <c r="R50" s="22">
        <f t="shared" si="19"/>
        <v>0</v>
      </c>
      <c r="S50" s="22">
        <f t="shared" si="19"/>
        <v>0</v>
      </c>
      <c r="T50" s="22">
        <f t="shared" si="19"/>
        <v>0</v>
      </c>
      <c r="U50" s="43"/>
    </row>
  </sheetData>
  <phoneticPr fontId="1"/>
  <conditionalFormatting sqref="Z6:Z36">
    <cfRule type="cellIs" dxfId="7" priority="1" operator="notEqual">
      <formula>0</formula>
    </cfRule>
  </conditionalFormatting>
  <pageMargins left="0.51181102362204722" right="0.51181102362204722" top="0.74803149606299213" bottom="0.74803149606299213" header="0.31496062992125984" footer="0.31496062992125984"/>
  <pageSetup paperSize="9" scale="4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1:AC50"/>
  <sheetViews>
    <sheetView topLeftCell="B1" zoomScale="70" zoomScaleNormal="70" workbookViewId="0">
      <pane xSplit="2" ySplit="5" topLeftCell="D6" activePane="bottomRight" state="frozen"/>
      <selection activeCell="D1" sqref="D1:Q2"/>
      <selection pane="topRight" activeCell="D1" sqref="D1:Q2"/>
      <selection pane="bottomLeft" activeCell="D1" sqref="D1:Q2"/>
      <selection pane="bottomRight" activeCell="T38" sqref="T38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33"/>
      <c r="I1" s="61"/>
      <c r="K1" s="38"/>
      <c r="M1" s="38"/>
      <c r="N1" s="62"/>
      <c r="P1" s="33"/>
      <c r="Q1" s="33"/>
      <c r="R1" s="33"/>
    </row>
    <row r="2" spans="2:29" ht="39.6" x14ac:dyDescent="0.2">
      <c r="B2" s="15" t="s">
        <v>6</v>
      </c>
      <c r="C2" s="11"/>
      <c r="D2" s="16"/>
      <c r="E2" s="16"/>
      <c r="F2" s="64"/>
      <c r="G2" s="16"/>
      <c r="H2" s="16"/>
      <c r="I2" s="64"/>
      <c r="J2" s="16"/>
      <c r="K2" s="16"/>
      <c r="L2" s="16"/>
      <c r="M2" s="16"/>
      <c r="N2" s="64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13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 t="str">
        <f>IF(ISERROR(VLOOKUP(P2,件番!$A$10:$D$113,2,FALSE)),"",(VLOOKUP(P2,件番!$A$10:$D$113,2,FALSE)))</f>
        <v/>
      </c>
      <c r="Q3" s="13"/>
      <c r="R3" s="13"/>
      <c r="S3" s="13" t="str">
        <f>IF(ISERROR(VLOOKUP(S2,件番!$A$3:$D$113,2,FALSE)),"",(VLOOKUP(S2,件番!$A$3:$D$113,2,FALSE)))</f>
        <v>2032B1008</v>
      </c>
      <c r="T3" s="13"/>
      <c r="U3" s="13"/>
    </row>
    <row r="4" spans="2:29" ht="27" customHeight="1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13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 t="str">
        <f>IF(ISERROR(VLOOKUP(P2,件番!$A$10:$D$113,2,FALSE)),"",(VLOOKUP(P2,件番!$A$10:$D$113,3,FALSE)))</f>
        <v/>
      </c>
      <c r="Q4" s="13"/>
      <c r="R4" s="13"/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13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 t="str">
        <f>IF(ISERROR(VLOOKUP(P2,件番!$A$10:$D$113,2,FALSE)),"",(VLOOKUP(P2,件番!$A$10:$D$113,4,FALSE)))</f>
        <v/>
      </c>
      <c r="Q5" s="13"/>
      <c r="R5" s="13"/>
      <c r="S5" s="13">
        <f>IF(ISERROR(VLOOKUP(S2,件番!$A$3:$D$113,2,FALSE)),"",(VLOOKUP(S2,件番!$A$3:$D$113,4,FALSE)))</f>
        <v>0</v>
      </c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46296</v>
      </c>
      <c r="C6" s="18" t="str">
        <f>TEXT(B6,"aaa")</f>
        <v>木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6" si="0">SUM(D6:S6)</f>
        <v>0</v>
      </c>
      <c r="U6" s="19"/>
      <c r="V6" s="2">
        <v>0.375</v>
      </c>
      <c r="W6" s="2">
        <v>0.72916666666666663</v>
      </c>
      <c r="X6" s="2">
        <v>5.2083333333333336E-2</v>
      </c>
      <c r="Y6" s="20">
        <f t="shared" ref="Y6:Y7" si="1">(W6-V6-X6)*24</f>
        <v>7.25</v>
      </c>
      <c r="Z6" s="21">
        <f t="shared" ref="Z6:Z7" si="2">Y6-T6</f>
        <v>7.25</v>
      </c>
      <c r="AA6" s="21">
        <f t="shared" ref="AA6:AA7" si="3">AC6-AB6</f>
        <v>0</v>
      </c>
      <c r="AB6" s="20">
        <v>7.25</v>
      </c>
      <c r="AC6">
        <f t="shared" ref="AC6:AC7" si="4">ABS(Y6)</f>
        <v>7.25</v>
      </c>
    </row>
    <row r="7" spans="2:29" x14ac:dyDescent="0.2">
      <c r="B7" s="17">
        <v>46297</v>
      </c>
      <c r="C7" s="18" t="str">
        <f t="shared" ref="C7:C35" si="5">TEXT(B7,"aaa")</f>
        <v>金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39"/>
      <c r="V7" s="2">
        <v>0.375</v>
      </c>
      <c r="W7" s="2">
        <v>0.72916666666666663</v>
      </c>
      <c r="X7" s="2">
        <v>5.2083333333333336E-2</v>
      </c>
      <c r="Y7" s="20">
        <f t="shared" si="1"/>
        <v>7.25</v>
      </c>
      <c r="Z7" s="21">
        <f t="shared" si="2"/>
        <v>7.25</v>
      </c>
      <c r="AA7" s="21">
        <f t="shared" si="3"/>
        <v>0</v>
      </c>
      <c r="AB7" s="20">
        <v>7.25</v>
      </c>
      <c r="AC7">
        <f t="shared" si="4"/>
        <v>7.25</v>
      </c>
    </row>
    <row r="8" spans="2:29" x14ac:dyDescent="0.2">
      <c r="B8" s="17">
        <v>46298</v>
      </c>
      <c r="C8" s="18" t="str">
        <f t="shared" si="5"/>
        <v>土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19"/>
      <c r="V8" s="2"/>
      <c r="W8" s="2"/>
      <c r="X8" s="2"/>
      <c r="Y8" s="20">
        <f t="shared" ref="Y8:Y36" si="6">(W8-V8-X8)*24</f>
        <v>0</v>
      </c>
      <c r="Z8" s="21">
        <f t="shared" ref="Z8:Z36" si="7">Y8-T8</f>
        <v>0</v>
      </c>
      <c r="AA8" s="21"/>
      <c r="AB8" s="20"/>
    </row>
    <row r="9" spans="2:29" x14ac:dyDescent="0.2">
      <c r="B9" s="17">
        <v>46299</v>
      </c>
      <c r="C9" s="18" t="str">
        <f t="shared" si="5"/>
        <v>日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44"/>
      <c r="V9" s="2"/>
      <c r="W9" s="2"/>
      <c r="X9" s="2"/>
      <c r="Y9" s="20">
        <f t="shared" si="6"/>
        <v>0</v>
      </c>
      <c r="Z9" s="21">
        <f t="shared" si="7"/>
        <v>0</v>
      </c>
      <c r="AA9" s="21"/>
      <c r="AB9" s="20"/>
    </row>
    <row r="10" spans="2:29" x14ac:dyDescent="0.2">
      <c r="B10" s="17">
        <v>46300</v>
      </c>
      <c r="C10" s="18" t="str">
        <f t="shared" si="5"/>
        <v>月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19"/>
      <c r="V10" s="2">
        <v>0.375</v>
      </c>
      <c r="W10" s="2">
        <v>0.72916666666666663</v>
      </c>
      <c r="X10" s="2">
        <v>5.2083333333333336E-2</v>
      </c>
      <c r="Y10" s="20">
        <f t="shared" si="6"/>
        <v>7.25</v>
      </c>
      <c r="Z10" s="21">
        <f t="shared" si="7"/>
        <v>7.25</v>
      </c>
      <c r="AA10" s="21">
        <f t="shared" ref="AA10:AA14" si="8">AC10-AB10</f>
        <v>0</v>
      </c>
      <c r="AB10" s="20">
        <v>7.25</v>
      </c>
      <c r="AC10">
        <f t="shared" ref="AC10:AC14" si="9">ABS(Y10)</f>
        <v>7.25</v>
      </c>
    </row>
    <row r="11" spans="2:29" x14ac:dyDescent="0.2">
      <c r="B11" s="17">
        <v>46301</v>
      </c>
      <c r="C11" s="18" t="str">
        <f t="shared" si="5"/>
        <v>火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39"/>
      <c r="V11" s="2">
        <v>0.375</v>
      </c>
      <c r="W11" s="2">
        <v>0.72916666666666663</v>
      </c>
      <c r="X11" s="2">
        <v>5.2083333333333336E-2</v>
      </c>
      <c r="Y11" s="20">
        <f t="shared" si="6"/>
        <v>7.25</v>
      </c>
      <c r="Z11" s="21">
        <f t="shared" si="7"/>
        <v>7.25</v>
      </c>
      <c r="AA11" s="21">
        <f t="shared" si="8"/>
        <v>0</v>
      </c>
      <c r="AB11" s="20">
        <v>7.25</v>
      </c>
      <c r="AC11">
        <f t="shared" si="9"/>
        <v>7.25</v>
      </c>
    </row>
    <row r="12" spans="2:29" x14ac:dyDescent="0.2">
      <c r="B12" s="17">
        <v>46302</v>
      </c>
      <c r="C12" s="18" t="str">
        <f t="shared" si="5"/>
        <v>水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41"/>
      <c r="V12" s="2">
        <v>0.375</v>
      </c>
      <c r="W12" s="2">
        <v>0.72916666666666663</v>
      </c>
      <c r="X12" s="2">
        <v>5.2083333333333336E-2</v>
      </c>
      <c r="Y12" s="20">
        <f t="shared" si="6"/>
        <v>7.25</v>
      </c>
      <c r="Z12" s="21">
        <f t="shared" si="7"/>
        <v>7.25</v>
      </c>
      <c r="AA12" s="21">
        <f t="shared" si="8"/>
        <v>0</v>
      </c>
      <c r="AB12" s="20">
        <v>7.25</v>
      </c>
      <c r="AC12">
        <f t="shared" si="9"/>
        <v>7.25</v>
      </c>
    </row>
    <row r="13" spans="2:29" x14ac:dyDescent="0.2">
      <c r="B13" s="17">
        <v>46303</v>
      </c>
      <c r="C13" s="18" t="str">
        <f t="shared" si="5"/>
        <v>木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44"/>
      <c r="V13" s="2">
        <v>0.375</v>
      </c>
      <c r="W13" s="2">
        <v>0.72916666666666663</v>
      </c>
      <c r="X13" s="2">
        <v>5.2083333333333336E-2</v>
      </c>
      <c r="Y13" s="20">
        <f t="shared" si="6"/>
        <v>7.25</v>
      </c>
      <c r="Z13" s="21">
        <f t="shared" si="7"/>
        <v>7.25</v>
      </c>
      <c r="AA13" s="21">
        <f t="shared" si="8"/>
        <v>0</v>
      </c>
      <c r="AB13" s="20">
        <v>7.25</v>
      </c>
      <c r="AC13">
        <f t="shared" si="9"/>
        <v>7.25</v>
      </c>
    </row>
    <row r="14" spans="2:29" x14ac:dyDescent="0.2">
      <c r="B14" s="17">
        <v>46304</v>
      </c>
      <c r="C14" s="18" t="str">
        <f t="shared" si="5"/>
        <v>金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39"/>
      <c r="V14" s="2">
        <v>0.375</v>
      </c>
      <c r="W14" s="2">
        <v>0.72916666666666663</v>
      </c>
      <c r="X14" s="2">
        <v>5.2083333333333336E-2</v>
      </c>
      <c r="Y14" s="20">
        <f t="shared" si="6"/>
        <v>7.25</v>
      </c>
      <c r="Z14" s="21">
        <f t="shared" si="7"/>
        <v>7.25</v>
      </c>
      <c r="AA14" s="21">
        <f t="shared" si="8"/>
        <v>0</v>
      </c>
      <c r="AB14" s="20">
        <v>7.25</v>
      </c>
      <c r="AC14">
        <f t="shared" si="9"/>
        <v>7.25</v>
      </c>
    </row>
    <row r="15" spans="2:29" x14ac:dyDescent="0.2">
      <c r="B15" s="17">
        <v>46305</v>
      </c>
      <c r="C15" s="18" t="str">
        <f t="shared" si="5"/>
        <v>土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19"/>
      <c r="V15" s="2"/>
      <c r="W15" s="2"/>
      <c r="X15" s="2"/>
      <c r="Y15" s="20">
        <f t="shared" si="6"/>
        <v>0</v>
      </c>
      <c r="Z15" s="21">
        <f t="shared" si="7"/>
        <v>0</v>
      </c>
      <c r="AA15" s="21"/>
      <c r="AB15" s="20"/>
    </row>
    <row r="16" spans="2:29" x14ac:dyDescent="0.2">
      <c r="B16" s="17">
        <v>46306</v>
      </c>
      <c r="C16" s="18" t="str">
        <f t="shared" si="5"/>
        <v>日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44"/>
      <c r="V16" s="2"/>
      <c r="W16" s="2"/>
      <c r="X16" s="2"/>
      <c r="Y16" s="20">
        <f t="shared" si="6"/>
        <v>0</v>
      </c>
      <c r="Z16" s="21">
        <f t="shared" si="7"/>
        <v>0</v>
      </c>
      <c r="AA16" s="21"/>
      <c r="AB16" s="20"/>
    </row>
    <row r="17" spans="2:29" x14ac:dyDescent="0.2">
      <c r="B17" s="17">
        <v>46307</v>
      </c>
      <c r="C17" s="18" t="str">
        <f t="shared" si="5"/>
        <v>月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39" t="s">
        <v>91</v>
      </c>
      <c r="V17" s="2"/>
      <c r="W17" s="2"/>
      <c r="X17" s="2"/>
      <c r="Y17" s="20">
        <f t="shared" si="6"/>
        <v>0</v>
      </c>
      <c r="Z17" s="21">
        <f t="shared" si="7"/>
        <v>0</v>
      </c>
      <c r="AA17" s="21"/>
      <c r="AB17" s="20"/>
    </row>
    <row r="18" spans="2:29" x14ac:dyDescent="0.2">
      <c r="B18" s="17">
        <v>46308</v>
      </c>
      <c r="C18" s="18" t="str">
        <f t="shared" si="5"/>
        <v>火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39"/>
      <c r="V18" s="2">
        <v>0.375</v>
      </c>
      <c r="W18" s="2">
        <v>0.72916666666666663</v>
      </c>
      <c r="X18" s="2">
        <v>5.2083333333333336E-2</v>
      </c>
      <c r="Y18" s="20">
        <f t="shared" si="6"/>
        <v>7.25</v>
      </c>
      <c r="Z18" s="21">
        <f t="shared" si="7"/>
        <v>7.25</v>
      </c>
      <c r="AA18" s="21">
        <f t="shared" ref="AA18:AA21" si="10">AC18-AB18</f>
        <v>0</v>
      </c>
      <c r="AB18" s="20">
        <v>7.25</v>
      </c>
      <c r="AC18">
        <f t="shared" ref="AC18:AC21" si="11">ABS(Y18)</f>
        <v>7.25</v>
      </c>
    </row>
    <row r="19" spans="2:29" x14ac:dyDescent="0.2">
      <c r="B19" s="17">
        <v>46309</v>
      </c>
      <c r="C19" s="18" t="str">
        <f t="shared" si="5"/>
        <v>水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39"/>
      <c r="V19" s="2">
        <v>0.375</v>
      </c>
      <c r="W19" s="2">
        <v>0.72916666666666663</v>
      </c>
      <c r="X19" s="2">
        <v>5.2083333333333336E-2</v>
      </c>
      <c r="Y19" s="20">
        <f t="shared" si="6"/>
        <v>7.25</v>
      </c>
      <c r="Z19" s="21">
        <f t="shared" si="7"/>
        <v>7.25</v>
      </c>
      <c r="AA19" s="21">
        <f t="shared" si="10"/>
        <v>0</v>
      </c>
      <c r="AB19" s="20">
        <v>7.25</v>
      </c>
      <c r="AC19">
        <f t="shared" si="11"/>
        <v>7.25</v>
      </c>
    </row>
    <row r="20" spans="2:29" x14ac:dyDescent="0.2">
      <c r="B20" s="17">
        <v>46310</v>
      </c>
      <c r="C20" s="18" t="str">
        <f t="shared" si="5"/>
        <v>木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39"/>
      <c r="V20" s="2">
        <v>0.375</v>
      </c>
      <c r="W20" s="2">
        <v>0.72916666666666663</v>
      </c>
      <c r="X20" s="2">
        <v>5.2083333333333336E-2</v>
      </c>
      <c r="Y20" s="20">
        <f t="shared" si="6"/>
        <v>7.25</v>
      </c>
      <c r="Z20" s="21">
        <f t="shared" si="7"/>
        <v>7.25</v>
      </c>
      <c r="AA20" s="21">
        <f t="shared" si="10"/>
        <v>0</v>
      </c>
      <c r="AB20" s="20">
        <v>7.25</v>
      </c>
      <c r="AC20">
        <f t="shared" si="11"/>
        <v>7.25</v>
      </c>
    </row>
    <row r="21" spans="2:29" x14ac:dyDescent="0.2">
      <c r="B21" s="17">
        <v>46311</v>
      </c>
      <c r="C21" s="18" t="str">
        <f t="shared" si="5"/>
        <v>金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19"/>
      <c r="V21" s="2">
        <v>0.375</v>
      </c>
      <c r="W21" s="2">
        <v>0.72916666666666663</v>
      </c>
      <c r="X21" s="2">
        <v>5.2083333333333336E-2</v>
      </c>
      <c r="Y21" s="20">
        <f t="shared" si="6"/>
        <v>7.25</v>
      </c>
      <c r="Z21" s="21">
        <f t="shared" si="7"/>
        <v>7.25</v>
      </c>
      <c r="AA21" s="21">
        <f t="shared" si="10"/>
        <v>0</v>
      </c>
      <c r="AB21" s="20">
        <v>7.25</v>
      </c>
      <c r="AC21">
        <f t="shared" si="11"/>
        <v>7.25</v>
      </c>
    </row>
    <row r="22" spans="2:29" x14ac:dyDescent="0.2">
      <c r="B22" s="17">
        <v>46312</v>
      </c>
      <c r="C22" s="18" t="str">
        <f t="shared" si="5"/>
        <v>土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19"/>
      <c r="V22" s="2"/>
      <c r="W22" s="2"/>
      <c r="X22" s="2"/>
      <c r="Y22" s="20">
        <f t="shared" si="6"/>
        <v>0</v>
      </c>
      <c r="Z22" s="21">
        <f t="shared" si="7"/>
        <v>0</v>
      </c>
      <c r="AA22" s="21"/>
      <c r="AB22" s="20"/>
    </row>
    <row r="23" spans="2:29" x14ac:dyDescent="0.2">
      <c r="B23" s="17">
        <v>46313</v>
      </c>
      <c r="C23" s="18" t="str">
        <f t="shared" si="5"/>
        <v>日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19"/>
      <c r="V23" s="2"/>
      <c r="W23" s="2"/>
      <c r="X23" s="2"/>
      <c r="Y23" s="20">
        <f t="shared" si="6"/>
        <v>0</v>
      </c>
      <c r="Z23" s="21">
        <f t="shared" si="7"/>
        <v>0</v>
      </c>
      <c r="AA23" s="21"/>
      <c r="AB23" s="20"/>
    </row>
    <row r="24" spans="2:29" x14ac:dyDescent="0.2">
      <c r="B24" s="17">
        <v>46314</v>
      </c>
      <c r="C24" s="18" t="str">
        <f t="shared" si="5"/>
        <v>月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19"/>
      <c r="V24" s="2">
        <v>0.375</v>
      </c>
      <c r="W24" s="2">
        <v>0.72916666666666663</v>
      </c>
      <c r="X24" s="2">
        <v>5.2083333333333336E-2</v>
      </c>
      <c r="Y24" s="20">
        <f t="shared" si="6"/>
        <v>7.25</v>
      </c>
      <c r="Z24" s="21">
        <f t="shared" si="7"/>
        <v>7.25</v>
      </c>
      <c r="AA24" s="21">
        <f t="shared" ref="AA24:AA28" si="12">AC24-AB24</f>
        <v>0</v>
      </c>
      <c r="AB24" s="20">
        <v>7.25</v>
      </c>
      <c r="AC24">
        <f t="shared" ref="AC24:AC28" si="13">ABS(Y24)</f>
        <v>7.25</v>
      </c>
    </row>
    <row r="25" spans="2:29" x14ac:dyDescent="0.2">
      <c r="B25" s="17">
        <v>46315</v>
      </c>
      <c r="C25" s="18" t="str">
        <f t="shared" si="5"/>
        <v>火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19"/>
      <c r="V25" s="2">
        <v>0.375</v>
      </c>
      <c r="W25" s="2">
        <v>0.72916666666666663</v>
      </c>
      <c r="X25" s="2">
        <v>5.2083333333333336E-2</v>
      </c>
      <c r="Y25" s="20">
        <f t="shared" si="6"/>
        <v>7.25</v>
      </c>
      <c r="Z25" s="21">
        <f t="shared" si="7"/>
        <v>7.25</v>
      </c>
      <c r="AA25" s="21">
        <f t="shared" si="12"/>
        <v>0</v>
      </c>
      <c r="AB25" s="20">
        <v>7.25</v>
      </c>
      <c r="AC25">
        <f t="shared" si="13"/>
        <v>7.25</v>
      </c>
    </row>
    <row r="26" spans="2:29" x14ac:dyDescent="0.2">
      <c r="B26" s="17">
        <v>46316</v>
      </c>
      <c r="C26" s="18" t="str">
        <f t="shared" si="5"/>
        <v>水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41"/>
      <c r="V26" s="2">
        <v>0.375</v>
      </c>
      <c r="W26" s="2">
        <v>0.72916666666666663</v>
      </c>
      <c r="X26" s="2">
        <v>5.2083333333333336E-2</v>
      </c>
      <c r="Y26" s="20">
        <f t="shared" si="6"/>
        <v>7.25</v>
      </c>
      <c r="Z26" s="21">
        <f t="shared" si="7"/>
        <v>7.25</v>
      </c>
      <c r="AA26" s="21">
        <f t="shared" si="12"/>
        <v>0</v>
      </c>
      <c r="AB26" s="20">
        <v>7.25</v>
      </c>
      <c r="AC26">
        <f t="shared" si="13"/>
        <v>7.25</v>
      </c>
    </row>
    <row r="27" spans="2:29" x14ac:dyDescent="0.2">
      <c r="B27" s="17">
        <v>46317</v>
      </c>
      <c r="C27" s="18" t="str">
        <f t="shared" si="5"/>
        <v>木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41"/>
      <c r="V27" s="2">
        <v>0.375</v>
      </c>
      <c r="W27" s="2">
        <v>0.72916666666666663</v>
      </c>
      <c r="X27" s="2">
        <v>5.2083333333333336E-2</v>
      </c>
      <c r="Y27" s="20">
        <f t="shared" si="6"/>
        <v>7.25</v>
      </c>
      <c r="Z27" s="21">
        <f t="shared" si="7"/>
        <v>7.25</v>
      </c>
      <c r="AA27" s="21">
        <f t="shared" si="12"/>
        <v>0</v>
      </c>
      <c r="AB27" s="20">
        <v>7.25</v>
      </c>
      <c r="AC27">
        <f t="shared" si="13"/>
        <v>7.25</v>
      </c>
    </row>
    <row r="28" spans="2:29" x14ac:dyDescent="0.2">
      <c r="B28" s="17">
        <v>46318</v>
      </c>
      <c r="C28" s="18" t="str">
        <f t="shared" si="5"/>
        <v>金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44"/>
      <c r="V28" s="2">
        <v>0.375</v>
      </c>
      <c r="W28" s="2">
        <v>0.72916666666666663</v>
      </c>
      <c r="X28" s="2">
        <v>5.2083333333333336E-2</v>
      </c>
      <c r="Y28" s="20">
        <f t="shared" si="6"/>
        <v>7.25</v>
      </c>
      <c r="Z28" s="21">
        <f t="shared" si="7"/>
        <v>7.25</v>
      </c>
      <c r="AA28" s="21">
        <f t="shared" si="12"/>
        <v>0</v>
      </c>
      <c r="AB28" s="20">
        <v>7.25</v>
      </c>
      <c r="AC28">
        <f t="shared" si="13"/>
        <v>7.25</v>
      </c>
    </row>
    <row r="29" spans="2:29" x14ac:dyDescent="0.2">
      <c r="B29" s="17">
        <v>46319</v>
      </c>
      <c r="C29" s="18" t="str">
        <f t="shared" si="5"/>
        <v>土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41"/>
      <c r="V29" s="2"/>
      <c r="W29" s="2"/>
      <c r="X29" s="2"/>
      <c r="Y29" s="20">
        <f t="shared" si="6"/>
        <v>0</v>
      </c>
      <c r="Z29" s="21">
        <f t="shared" si="7"/>
        <v>0</v>
      </c>
      <c r="AA29" s="21"/>
      <c r="AB29" s="20"/>
    </row>
    <row r="30" spans="2:29" x14ac:dyDescent="0.2">
      <c r="B30" s="17">
        <v>46320</v>
      </c>
      <c r="C30" s="18" t="str">
        <f t="shared" si="5"/>
        <v>日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4"/>
      <c r="V30" s="2"/>
      <c r="W30" s="2"/>
      <c r="X30" s="2"/>
      <c r="Y30" s="20">
        <f t="shared" si="6"/>
        <v>0</v>
      </c>
      <c r="Z30" s="21">
        <f t="shared" si="7"/>
        <v>0</v>
      </c>
      <c r="AA30" s="21"/>
      <c r="AB30" s="20"/>
    </row>
    <row r="31" spans="2:29" x14ac:dyDescent="0.2">
      <c r="B31" s="17">
        <v>46321</v>
      </c>
      <c r="C31" s="18" t="str">
        <f t="shared" si="5"/>
        <v>月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44"/>
      <c r="V31" s="2">
        <v>0.375</v>
      </c>
      <c r="W31" s="2">
        <v>0.72916666666666663</v>
      </c>
      <c r="X31" s="2">
        <v>5.2083333333333336E-2</v>
      </c>
      <c r="Y31" s="20">
        <f t="shared" si="6"/>
        <v>7.25</v>
      </c>
      <c r="Z31" s="21">
        <f t="shared" si="7"/>
        <v>7.25</v>
      </c>
      <c r="AA31" s="21">
        <f t="shared" ref="AA31:AA35" si="14">AC31-AB31</f>
        <v>0</v>
      </c>
      <c r="AB31" s="20">
        <v>7.25</v>
      </c>
      <c r="AC31">
        <f t="shared" ref="AC31:AC35" si="15">ABS(Y31)</f>
        <v>7.25</v>
      </c>
    </row>
    <row r="32" spans="2:29" x14ac:dyDescent="0.2">
      <c r="B32" s="17">
        <v>46322</v>
      </c>
      <c r="C32" s="18" t="str">
        <f t="shared" si="5"/>
        <v>火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19"/>
      <c r="V32" s="2">
        <v>0.375</v>
      </c>
      <c r="W32" s="2">
        <v>0.72916666666666663</v>
      </c>
      <c r="X32" s="2">
        <v>5.2083333333333336E-2</v>
      </c>
      <c r="Y32" s="20">
        <f t="shared" si="6"/>
        <v>7.25</v>
      </c>
      <c r="Z32" s="21">
        <f t="shared" si="7"/>
        <v>7.25</v>
      </c>
      <c r="AA32" s="21">
        <f t="shared" si="14"/>
        <v>0</v>
      </c>
      <c r="AB32" s="20">
        <v>7.25</v>
      </c>
      <c r="AC32">
        <f t="shared" si="15"/>
        <v>7.25</v>
      </c>
    </row>
    <row r="33" spans="2:29" x14ac:dyDescent="0.2">
      <c r="B33" s="17">
        <v>46323</v>
      </c>
      <c r="C33" s="18" t="str">
        <f t="shared" si="5"/>
        <v>水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19"/>
      <c r="V33" s="2">
        <v>0.375</v>
      </c>
      <c r="W33" s="2">
        <v>0.72916666666666663</v>
      </c>
      <c r="X33" s="2">
        <v>5.2083333333333336E-2</v>
      </c>
      <c r="Y33" s="20">
        <f t="shared" si="6"/>
        <v>7.25</v>
      </c>
      <c r="Z33" s="21">
        <f t="shared" si="7"/>
        <v>7.25</v>
      </c>
      <c r="AA33" s="21">
        <f t="shared" si="14"/>
        <v>0</v>
      </c>
      <c r="AB33" s="20">
        <v>7.25</v>
      </c>
      <c r="AC33">
        <f t="shared" si="15"/>
        <v>7.25</v>
      </c>
    </row>
    <row r="34" spans="2:29" x14ac:dyDescent="0.2">
      <c r="B34" s="17">
        <v>46324</v>
      </c>
      <c r="C34" s="18" t="str">
        <f t="shared" si="5"/>
        <v>木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19"/>
      <c r="V34" s="2">
        <v>0.375</v>
      </c>
      <c r="W34" s="2">
        <v>0.72916666666666663</v>
      </c>
      <c r="X34" s="2">
        <v>5.2083333333333336E-2</v>
      </c>
      <c r="Y34" s="20">
        <f t="shared" si="6"/>
        <v>7.25</v>
      </c>
      <c r="Z34" s="21">
        <f t="shared" si="7"/>
        <v>7.25</v>
      </c>
      <c r="AA34" s="21">
        <f t="shared" si="14"/>
        <v>0</v>
      </c>
      <c r="AB34" s="20">
        <v>7.25</v>
      </c>
      <c r="AC34">
        <f t="shared" si="15"/>
        <v>7.25</v>
      </c>
    </row>
    <row r="35" spans="2:29" x14ac:dyDescent="0.2">
      <c r="B35" s="17">
        <v>46325</v>
      </c>
      <c r="C35" s="18" t="str">
        <f t="shared" si="5"/>
        <v>金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19"/>
      <c r="V35" s="2">
        <v>0.375</v>
      </c>
      <c r="W35" s="2">
        <v>0.72916666666666663</v>
      </c>
      <c r="X35" s="2">
        <v>5.2083333333333336E-2</v>
      </c>
      <c r="Y35" s="20">
        <f t="shared" si="6"/>
        <v>7.25</v>
      </c>
      <c r="Z35" s="21">
        <f t="shared" si="7"/>
        <v>7.25</v>
      </c>
      <c r="AA35" s="21">
        <f t="shared" si="14"/>
        <v>0</v>
      </c>
      <c r="AB35" s="20">
        <v>7.25</v>
      </c>
      <c r="AC35">
        <f t="shared" si="15"/>
        <v>7.25</v>
      </c>
    </row>
    <row r="36" spans="2:29" ht="13.8" thickBot="1" x14ac:dyDescent="0.25">
      <c r="B36" s="25">
        <v>46326</v>
      </c>
      <c r="C36" s="26" t="str">
        <f>TEXT(B36,"aaa")</f>
        <v>土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>
        <f t="shared" si="0"/>
        <v>0</v>
      </c>
      <c r="U36" s="27"/>
      <c r="V36" s="2"/>
      <c r="W36" s="2"/>
      <c r="X36" s="2"/>
      <c r="Y36" s="20">
        <f t="shared" si="6"/>
        <v>0</v>
      </c>
      <c r="Z36" s="21">
        <f t="shared" si="7"/>
        <v>0</v>
      </c>
      <c r="AA36" s="21"/>
      <c r="AB36" s="20"/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T37" si="16">SUM(E6:E36)</f>
        <v>0</v>
      </c>
      <c r="F37" s="22">
        <f t="shared" si="16"/>
        <v>0</v>
      </c>
      <c r="G37" s="22">
        <f t="shared" si="16"/>
        <v>0</v>
      </c>
      <c r="H37" s="22">
        <f t="shared" si="16"/>
        <v>0</v>
      </c>
      <c r="I37" s="22">
        <f t="shared" si="16"/>
        <v>0</v>
      </c>
      <c r="J37" s="22">
        <f t="shared" si="16"/>
        <v>0</v>
      </c>
      <c r="K37" s="22">
        <f t="shared" si="16"/>
        <v>0</v>
      </c>
      <c r="L37" s="22">
        <f t="shared" si="16"/>
        <v>0</v>
      </c>
      <c r="M37" s="22">
        <f t="shared" si="16"/>
        <v>0</v>
      </c>
      <c r="N37" s="22">
        <f t="shared" si="16"/>
        <v>0</v>
      </c>
      <c r="O37" s="22">
        <f t="shared" si="16"/>
        <v>0</v>
      </c>
      <c r="P37" s="22">
        <f t="shared" si="16"/>
        <v>0</v>
      </c>
      <c r="Q37" s="22"/>
      <c r="R37" s="22"/>
      <c r="S37" s="22">
        <f t="shared" si="16"/>
        <v>0</v>
      </c>
      <c r="T37" s="23">
        <f t="shared" si="16"/>
        <v>0</v>
      </c>
      <c r="U37" s="24"/>
      <c r="V37" s="2"/>
      <c r="Y37" s="21"/>
      <c r="AA37" s="21">
        <f>SUM(AA6:AA36)</f>
        <v>0</v>
      </c>
      <c r="AB37" s="21">
        <f>SUM(AB6:AB36)</f>
        <v>152.25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17"/>
      <c r="C41" s="18" t="str">
        <f t="shared" ref="C41:C44" si="17">TEXT(B41,"aaa")</f>
        <v>土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>
        <f t="shared" ref="T41:T44" si="18">SUM(D41:S41)</f>
        <v>0</v>
      </c>
      <c r="U41" s="40"/>
    </row>
    <row r="42" spans="2:29" x14ac:dyDescent="0.2">
      <c r="B42" s="17"/>
      <c r="C42" s="18" t="str">
        <f t="shared" si="17"/>
        <v>土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>
        <f>SUM(D42:S42)</f>
        <v>0</v>
      </c>
      <c r="U42" s="40"/>
    </row>
    <row r="43" spans="2:29" x14ac:dyDescent="0.2">
      <c r="B43" s="17"/>
      <c r="C43" s="18" t="str">
        <f t="shared" si="17"/>
        <v>土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>
        <f t="shared" si="18"/>
        <v>0</v>
      </c>
      <c r="U43" s="40"/>
    </row>
    <row r="44" spans="2:29" x14ac:dyDescent="0.2">
      <c r="B44" s="17"/>
      <c r="C44" s="18" t="str">
        <f t="shared" si="17"/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si="18"/>
        <v>0</v>
      </c>
      <c r="U44" s="40"/>
    </row>
    <row r="45" spans="2:29" x14ac:dyDescent="0.2">
      <c r="B45" s="54"/>
      <c r="C45" s="18" t="str">
        <f t="shared" ref="C45:C48" si="19">TEXT(B45,"aaa")</f>
        <v>土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>
        <f t="shared" ref="T45:T49" si="20">SUM(D45:S45)</f>
        <v>0</v>
      </c>
      <c r="U45" s="40"/>
    </row>
    <row r="46" spans="2:29" x14ac:dyDescent="0.2">
      <c r="B46" s="54"/>
      <c r="C46" s="18" t="str">
        <f t="shared" si="19"/>
        <v>土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si="20"/>
        <v>0</v>
      </c>
      <c r="U46" s="40"/>
    </row>
    <row r="47" spans="2:29" x14ac:dyDescent="0.2">
      <c r="B47" s="54"/>
      <c r="C47" s="18" t="str">
        <f t="shared" si="19"/>
        <v>土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>
        <f t="shared" si="20"/>
        <v>0</v>
      </c>
      <c r="U47" s="40"/>
    </row>
    <row r="48" spans="2:29" x14ac:dyDescent="0.2">
      <c r="B48" s="54"/>
      <c r="C48" s="18" t="str">
        <f t="shared" si="19"/>
        <v>土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>
        <f t="shared" si="20"/>
        <v>0</v>
      </c>
      <c r="U48" s="40"/>
    </row>
    <row r="49" spans="2:21" ht="13.8" thickBot="1" x14ac:dyDescent="0.25">
      <c r="B49" s="65"/>
      <c r="C49" s="2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>
        <f t="shared" si="20"/>
        <v>0</v>
      </c>
      <c r="U49" s="42"/>
    </row>
    <row r="50" spans="2:21" ht="13.8" thickTop="1" x14ac:dyDescent="0.2">
      <c r="B50" s="29" t="s">
        <v>21</v>
      </c>
      <c r="C50" s="22" t="s">
        <v>0</v>
      </c>
      <c r="D50" s="22">
        <f t="shared" ref="D50:T50" si="21">SUM(D41:D49)</f>
        <v>0</v>
      </c>
      <c r="E50" s="22">
        <f t="shared" si="21"/>
        <v>0</v>
      </c>
      <c r="F50" s="22">
        <f t="shared" si="21"/>
        <v>0</v>
      </c>
      <c r="G50" s="22">
        <f t="shared" si="21"/>
        <v>0</v>
      </c>
      <c r="H50" s="22">
        <f t="shared" si="21"/>
        <v>0</v>
      </c>
      <c r="I50" s="22">
        <f t="shared" si="21"/>
        <v>0</v>
      </c>
      <c r="J50" s="22">
        <f t="shared" si="21"/>
        <v>0</v>
      </c>
      <c r="K50" s="22">
        <f t="shared" si="21"/>
        <v>0</v>
      </c>
      <c r="L50" s="22">
        <f t="shared" si="21"/>
        <v>0</v>
      </c>
      <c r="M50" s="22">
        <f t="shared" si="21"/>
        <v>0</v>
      </c>
      <c r="N50" s="22">
        <f t="shared" si="21"/>
        <v>0</v>
      </c>
      <c r="O50" s="22">
        <f t="shared" si="21"/>
        <v>0</v>
      </c>
      <c r="P50" s="22">
        <f t="shared" si="21"/>
        <v>0</v>
      </c>
      <c r="Q50" s="22">
        <f t="shared" si="21"/>
        <v>0</v>
      </c>
      <c r="R50" s="22">
        <f t="shared" si="21"/>
        <v>0</v>
      </c>
      <c r="S50" s="22">
        <f t="shared" si="21"/>
        <v>0</v>
      </c>
      <c r="T50" s="22">
        <f t="shared" si="21"/>
        <v>0</v>
      </c>
      <c r="U50" s="43"/>
    </row>
  </sheetData>
  <phoneticPr fontId="1"/>
  <conditionalFormatting sqref="Z6:Z36">
    <cfRule type="cellIs" dxfId="6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1:AC50"/>
  <sheetViews>
    <sheetView topLeftCell="B1" zoomScale="70" zoomScaleNormal="70" workbookViewId="0">
      <pane xSplit="2" ySplit="5" topLeftCell="D6" activePane="bottomRight" state="frozen"/>
      <selection activeCell="D1" sqref="D1:Q2"/>
      <selection pane="topRight" activeCell="D1" sqref="D1:Q2"/>
      <selection pane="bottomLeft" activeCell="D1" sqref="D1:Q2"/>
      <selection pane="bottomRight" activeCell="T38" sqref="T38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33"/>
      <c r="I1" s="61"/>
      <c r="K1" s="38"/>
      <c r="M1" s="38"/>
      <c r="N1" s="62"/>
      <c r="P1" s="33"/>
      <c r="Q1" s="33"/>
      <c r="R1" s="33"/>
    </row>
    <row r="2" spans="2:29" ht="39.6" x14ac:dyDescent="0.2">
      <c r="B2" s="15" t="s">
        <v>6</v>
      </c>
      <c r="C2" s="11"/>
      <c r="D2" s="16"/>
      <c r="E2" s="16"/>
      <c r="F2" s="64"/>
      <c r="G2" s="16"/>
      <c r="H2" s="16"/>
      <c r="I2" s="64"/>
      <c r="J2" s="16"/>
      <c r="K2" s="16"/>
      <c r="L2" s="16"/>
      <c r="M2" s="16"/>
      <c r="N2" s="64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13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 t="str">
        <f>IF(ISERROR(VLOOKUP(P2,件番!$A$10:$D$113,2,FALSE)),"",(VLOOKUP(P2,件番!$A$10:$D$113,2,FALSE)))</f>
        <v/>
      </c>
      <c r="Q3" s="13" t="str">
        <f>IF(ISERROR(VLOOKUP(Q2,件番!$A$10:$D$113,2,FALSE)),"",(VLOOKUP(Q2,件番!$A$10:$D$113,2,FALSE)))</f>
        <v/>
      </c>
      <c r="R3" s="13"/>
      <c r="S3" s="13" t="str">
        <f>IF(ISERROR(VLOOKUP(S2,件番!$A$3:$D$113,2,FALSE)),"",(VLOOKUP(S2,件番!$A$3:$D$113,2,FALSE)))</f>
        <v>2032B1008</v>
      </c>
      <c r="T3" s="13"/>
      <c r="U3" s="13"/>
    </row>
    <row r="4" spans="2:29" ht="27" customHeight="1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13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 t="str">
        <f>IF(ISERROR(VLOOKUP(P2,件番!$A$10:$D$113,2,FALSE)),"",(VLOOKUP(P2,件番!$A$10:$D$113,3,FALSE)))</f>
        <v/>
      </c>
      <c r="Q4" s="13" t="str">
        <f>IF(ISERROR(VLOOKUP(Q2,件番!$A$10:$D$113,2,FALSE)),"",(VLOOKUP(Q2,件番!$A$10:$D$113,3,FALSE)))</f>
        <v/>
      </c>
      <c r="R4" s="13"/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13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 t="str">
        <f>IF(ISERROR(VLOOKUP(P2,件番!$A$10:$D$113,2,FALSE)),"",(VLOOKUP(P2,件番!$A$10:$D$113,4,FALSE)))</f>
        <v/>
      </c>
      <c r="Q5" s="13" t="str">
        <f>IF(ISERROR(VLOOKUP(Q2,件番!$A$10:$D$113,2,FALSE)),"",(VLOOKUP(Q2,件番!$A$10:$D$113,4,FALSE)))</f>
        <v/>
      </c>
      <c r="R5" s="13"/>
      <c r="S5" s="13">
        <f>IF(ISERROR(VLOOKUP(S2,件番!$A$3:$D$113,2,FALSE)),"",(VLOOKUP(S2,件番!$A$3:$D$113,4,FALSE)))</f>
        <v>0</v>
      </c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46327</v>
      </c>
      <c r="C6" s="18" t="str">
        <f>TEXT(B6,"aaa")</f>
        <v>日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5" si="0">SUM(D6:S6)</f>
        <v>0</v>
      </c>
      <c r="U6" s="19"/>
      <c r="V6" s="2"/>
      <c r="W6" s="2"/>
      <c r="X6" s="2"/>
      <c r="Y6" s="20">
        <f t="shared" ref="Y6:Y35" si="1">(W6-V6-X6)*24</f>
        <v>0</v>
      </c>
      <c r="Z6" s="21">
        <f t="shared" ref="Z6:Z35" si="2">Y6-T6</f>
        <v>0</v>
      </c>
      <c r="AA6" s="21"/>
      <c r="AB6" s="20"/>
    </row>
    <row r="7" spans="2:29" x14ac:dyDescent="0.2">
      <c r="B7" s="17">
        <v>46328</v>
      </c>
      <c r="C7" s="18" t="str">
        <f t="shared" ref="C7:C35" si="3">TEXT(B7,"aaa")</f>
        <v>月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44"/>
      <c r="V7" s="2">
        <v>0.375</v>
      </c>
      <c r="W7" s="2">
        <v>0.72916666666666663</v>
      </c>
      <c r="X7" s="2">
        <v>5.2083333333333336E-2</v>
      </c>
      <c r="Y7" s="20">
        <f t="shared" si="1"/>
        <v>7.25</v>
      </c>
      <c r="Z7" s="21">
        <f t="shared" si="2"/>
        <v>7.25</v>
      </c>
      <c r="AA7" s="21">
        <f t="shared" ref="AA7:AA11" si="4">AC7-AB7</f>
        <v>0</v>
      </c>
      <c r="AB7" s="20">
        <v>7.25</v>
      </c>
      <c r="AC7">
        <f t="shared" ref="AC7:AC11" si="5">ABS(Y7)</f>
        <v>7.25</v>
      </c>
    </row>
    <row r="8" spans="2:29" x14ac:dyDescent="0.2">
      <c r="B8" s="17">
        <v>46329</v>
      </c>
      <c r="C8" s="18" t="str">
        <f t="shared" si="3"/>
        <v>火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45" t="s">
        <v>36</v>
      </c>
      <c r="V8" s="2"/>
      <c r="W8" s="2"/>
      <c r="X8" s="2"/>
      <c r="Y8" s="20">
        <f t="shared" si="1"/>
        <v>0</v>
      </c>
      <c r="Z8" s="21">
        <f t="shared" si="2"/>
        <v>0</v>
      </c>
      <c r="AA8" s="21"/>
      <c r="AB8" s="20"/>
    </row>
    <row r="9" spans="2:29" x14ac:dyDescent="0.2">
      <c r="B9" s="17">
        <v>46330</v>
      </c>
      <c r="C9" s="18" t="str">
        <f t="shared" si="3"/>
        <v>水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44"/>
      <c r="V9" s="2">
        <v>0.375</v>
      </c>
      <c r="W9" s="2">
        <v>0.72916666666666663</v>
      </c>
      <c r="X9" s="2">
        <v>5.2083333333333336E-2</v>
      </c>
      <c r="Y9" s="20">
        <f t="shared" si="1"/>
        <v>7.25</v>
      </c>
      <c r="Z9" s="21">
        <f t="shared" si="2"/>
        <v>7.25</v>
      </c>
      <c r="AA9" s="21">
        <f t="shared" si="4"/>
        <v>0</v>
      </c>
      <c r="AB9" s="20">
        <v>7.25</v>
      </c>
      <c r="AC9">
        <f t="shared" si="5"/>
        <v>7.25</v>
      </c>
    </row>
    <row r="10" spans="2:29" x14ac:dyDescent="0.2">
      <c r="B10" s="17">
        <v>46331</v>
      </c>
      <c r="C10" s="18" t="str">
        <f t="shared" si="3"/>
        <v>木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44"/>
      <c r="V10" s="2">
        <v>0.375</v>
      </c>
      <c r="W10" s="2">
        <v>0.72916666666666663</v>
      </c>
      <c r="X10" s="2">
        <v>5.2083333333333336E-2</v>
      </c>
      <c r="Y10" s="20">
        <f t="shared" si="1"/>
        <v>7.25</v>
      </c>
      <c r="Z10" s="21">
        <f t="shared" si="2"/>
        <v>7.25</v>
      </c>
      <c r="AA10" s="21">
        <f t="shared" si="4"/>
        <v>0</v>
      </c>
      <c r="AB10" s="20">
        <v>7.25</v>
      </c>
      <c r="AC10">
        <f t="shared" si="5"/>
        <v>7.25</v>
      </c>
    </row>
    <row r="11" spans="2:29" x14ac:dyDescent="0.2">
      <c r="B11" s="17">
        <v>46332</v>
      </c>
      <c r="C11" s="18" t="str">
        <f t="shared" si="3"/>
        <v>金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44"/>
      <c r="V11" s="2">
        <v>0.375</v>
      </c>
      <c r="W11" s="2">
        <v>0.72916666666666663</v>
      </c>
      <c r="X11" s="2">
        <v>5.2083333333333336E-2</v>
      </c>
      <c r="Y11" s="20">
        <f t="shared" si="1"/>
        <v>7.25</v>
      </c>
      <c r="Z11" s="21">
        <f t="shared" si="2"/>
        <v>7.25</v>
      </c>
      <c r="AA11" s="21">
        <f t="shared" si="4"/>
        <v>0</v>
      </c>
      <c r="AB11" s="20">
        <v>7.25</v>
      </c>
      <c r="AC11">
        <f t="shared" si="5"/>
        <v>7.25</v>
      </c>
    </row>
    <row r="12" spans="2:29" x14ac:dyDescent="0.2">
      <c r="B12" s="17">
        <v>46333</v>
      </c>
      <c r="C12" s="18" t="str">
        <f t="shared" si="3"/>
        <v>土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44"/>
      <c r="V12" s="2"/>
      <c r="W12" s="2"/>
      <c r="X12" s="2"/>
      <c r="Y12" s="20">
        <f t="shared" si="1"/>
        <v>0</v>
      </c>
      <c r="Z12" s="21">
        <f t="shared" si="2"/>
        <v>0</v>
      </c>
      <c r="AA12" s="21"/>
      <c r="AB12" s="20"/>
    </row>
    <row r="13" spans="2:29" x14ac:dyDescent="0.2">
      <c r="B13" s="17">
        <v>46334</v>
      </c>
      <c r="C13" s="18" t="str">
        <f t="shared" si="3"/>
        <v>日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44"/>
      <c r="V13" s="2"/>
      <c r="W13" s="2"/>
      <c r="X13" s="2"/>
      <c r="Y13" s="20">
        <f t="shared" si="1"/>
        <v>0</v>
      </c>
      <c r="Z13" s="21">
        <f t="shared" si="2"/>
        <v>0</v>
      </c>
      <c r="AA13" s="21"/>
      <c r="AB13" s="20"/>
    </row>
    <row r="14" spans="2:29" x14ac:dyDescent="0.2">
      <c r="B14" s="17">
        <v>46335</v>
      </c>
      <c r="C14" s="18" t="str">
        <f t="shared" si="3"/>
        <v>月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45"/>
      <c r="V14" s="2">
        <v>0.375</v>
      </c>
      <c r="W14" s="2">
        <v>0.72916666666666663</v>
      </c>
      <c r="X14" s="2">
        <v>5.2083333333333336E-2</v>
      </c>
      <c r="Y14" s="20">
        <f t="shared" si="1"/>
        <v>7.25</v>
      </c>
      <c r="Z14" s="21">
        <f t="shared" si="2"/>
        <v>7.25</v>
      </c>
      <c r="AA14" s="21">
        <f t="shared" ref="AA14:AA18" si="6">AC14-AB14</f>
        <v>0</v>
      </c>
      <c r="AB14" s="20">
        <v>7.25</v>
      </c>
      <c r="AC14">
        <f t="shared" ref="AC14:AC18" si="7">ABS(Y14)</f>
        <v>7.25</v>
      </c>
    </row>
    <row r="15" spans="2:29" x14ac:dyDescent="0.2">
      <c r="B15" s="17">
        <v>46336</v>
      </c>
      <c r="C15" s="18" t="str">
        <f t="shared" si="3"/>
        <v>火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44"/>
      <c r="V15" s="2">
        <v>0.375</v>
      </c>
      <c r="W15" s="2">
        <v>0.72916666666666663</v>
      </c>
      <c r="X15" s="2">
        <v>5.2083333333333336E-2</v>
      </c>
      <c r="Y15" s="20">
        <f t="shared" si="1"/>
        <v>7.25</v>
      </c>
      <c r="Z15" s="21">
        <f t="shared" si="2"/>
        <v>7.25</v>
      </c>
      <c r="AA15" s="21">
        <f t="shared" si="6"/>
        <v>0</v>
      </c>
      <c r="AB15" s="20">
        <v>7.25</v>
      </c>
      <c r="AC15">
        <f t="shared" si="7"/>
        <v>7.25</v>
      </c>
    </row>
    <row r="16" spans="2:29" x14ac:dyDescent="0.2">
      <c r="B16" s="17">
        <v>46337</v>
      </c>
      <c r="C16" s="18" t="str">
        <f t="shared" si="3"/>
        <v>水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44"/>
      <c r="V16" s="2">
        <v>0.375</v>
      </c>
      <c r="W16" s="2">
        <v>0.72916666666666663</v>
      </c>
      <c r="X16" s="2">
        <v>5.2083333333333336E-2</v>
      </c>
      <c r="Y16" s="20">
        <f t="shared" si="1"/>
        <v>7.25</v>
      </c>
      <c r="Z16" s="21">
        <f t="shared" si="2"/>
        <v>7.25</v>
      </c>
      <c r="AA16" s="21">
        <f t="shared" si="6"/>
        <v>0</v>
      </c>
      <c r="AB16" s="20">
        <v>7.25</v>
      </c>
      <c r="AC16">
        <f t="shared" si="7"/>
        <v>7.25</v>
      </c>
    </row>
    <row r="17" spans="2:29" x14ac:dyDescent="0.2">
      <c r="B17" s="17">
        <v>46338</v>
      </c>
      <c r="C17" s="18" t="str">
        <f t="shared" si="3"/>
        <v>木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44"/>
      <c r="V17" s="2">
        <v>0.375</v>
      </c>
      <c r="W17" s="2">
        <v>0.72916666666666663</v>
      </c>
      <c r="X17" s="2">
        <v>5.2083333333333336E-2</v>
      </c>
      <c r="Y17" s="20">
        <f t="shared" si="1"/>
        <v>7.25</v>
      </c>
      <c r="Z17" s="21">
        <f t="shared" si="2"/>
        <v>7.25</v>
      </c>
      <c r="AA17" s="21">
        <f t="shared" si="6"/>
        <v>0</v>
      </c>
      <c r="AB17" s="20">
        <v>7.25</v>
      </c>
      <c r="AC17">
        <f t="shared" si="7"/>
        <v>7.25</v>
      </c>
    </row>
    <row r="18" spans="2:29" x14ac:dyDescent="0.2">
      <c r="B18" s="17">
        <v>46339</v>
      </c>
      <c r="C18" s="18" t="str">
        <f t="shared" si="3"/>
        <v>金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44"/>
      <c r="V18" s="2">
        <v>0.375</v>
      </c>
      <c r="W18" s="2">
        <v>0.72916666666666663</v>
      </c>
      <c r="X18" s="2">
        <v>5.2083333333333336E-2</v>
      </c>
      <c r="Y18" s="20">
        <f t="shared" si="1"/>
        <v>7.25</v>
      </c>
      <c r="Z18" s="21">
        <f t="shared" si="2"/>
        <v>7.25</v>
      </c>
      <c r="AA18" s="21">
        <f t="shared" si="6"/>
        <v>0</v>
      </c>
      <c r="AB18" s="20">
        <v>7.25</v>
      </c>
      <c r="AC18">
        <f t="shared" si="7"/>
        <v>7.25</v>
      </c>
    </row>
    <row r="19" spans="2:29" x14ac:dyDescent="0.2">
      <c r="B19" s="17">
        <v>46340</v>
      </c>
      <c r="C19" s="18" t="str">
        <f t="shared" si="3"/>
        <v>土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44"/>
      <c r="V19" s="2"/>
      <c r="W19" s="2"/>
      <c r="X19" s="2"/>
      <c r="Y19" s="20">
        <f t="shared" si="1"/>
        <v>0</v>
      </c>
      <c r="Z19" s="21">
        <f t="shared" si="2"/>
        <v>0</v>
      </c>
      <c r="AA19" s="21"/>
      <c r="AB19" s="20"/>
    </row>
    <row r="20" spans="2:29" x14ac:dyDescent="0.2">
      <c r="B20" s="17">
        <v>46341</v>
      </c>
      <c r="C20" s="18" t="str">
        <f t="shared" si="3"/>
        <v>日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44"/>
      <c r="V20" s="2"/>
      <c r="W20" s="2"/>
      <c r="X20" s="2"/>
      <c r="Y20" s="20">
        <f t="shared" si="1"/>
        <v>0</v>
      </c>
      <c r="Z20" s="21">
        <f t="shared" si="2"/>
        <v>0</v>
      </c>
      <c r="AA20" s="21"/>
      <c r="AB20" s="20"/>
    </row>
    <row r="21" spans="2:29" x14ac:dyDescent="0.2">
      <c r="B21" s="17">
        <v>46342</v>
      </c>
      <c r="C21" s="18" t="str">
        <f t="shared" si="3"/>
        <v>月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44"/>
      <c r="V21" s="2">
        <v>0.375</v>
      </c>
      <c r="W21" s="2">
        <v>0.72916666666666663</v>
      </c>
      <c r="X21" s="2">
        <v>5.2083333333333336E-2</v>
      </c>
      <c r="Y21" s="20">
        <f t="shared" si="1"/>
        <v>7.25</v>
      </c>
      <c r="Z21" s="21">
        <f t="shared" si="2"/>
        <v>7.25</v>
      </c>
      <c r="AA21" s="21">
        <f t="shared" ref="AA21:AA25" si="8">AC21-AB21</f>
        <v>0</v>
      </c>
      <c r="AB21" s="20">
        <v>7.25</v>
      </c>
      <c r="AC21">
        <f t="shared" ref="AC21:AC25" si="9">ABS(Y21)</f>
        <v>7.25</v>
      </c>
    </row>
    <row r="22" spans="2:29" x14ac:dyDescent="0.2">
      <c r="B22" s="17">
        <v>46343</v>
      </c>
      <c r="C22" s="18" t="str">
        <f t="shared" si="3"/>
        <v>火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44"/>
      <c r="V22" s="2">
        <v>0.375</v>
      </c>
      <c r="W22" s="2">
        <v>0.72916666666666663</v>
      </c>
      <c r="X22" s="2">
        <v>5.2083333333333336E-2</v>
      </c>
      <c r="Y22" s="20">
        <f t="shared" si="1"/>
        <v>7.25</v>
      </c>
      <c r="Z22" s="21">
        <f t="shared" si="2"/>
        <v>7.25</v>
      </c>
      <c r="AA22" s="21">
        <f t="shared" si="8"/>
        <v>0</v>
      </c>
      <c r="AB22" s="20">
        <v>7.25</v>
      </c>
      <c r="AC22">
        <f t="shared" si="9"/>
        <v>7.25</v>
      </c>
    </row>
    <row r="23" spans="2:29" x14ac:dyDescent="0.2">
      <c r="B23" s="17">
        <v>46344</v>
      </c>
      <c r="C23" s="18" t="str">
        <f t="shared" si="3"/>
        <v>水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44"/>
      <c r="V23" s="2">
        <v>0.375</v>
      </c>
      <c r="W23" s="2">
        <v>0.72916666666666663</v>
      </c>
      <c r="X23" s="2">
        <v>5.2083333333333336E-2</v>
      </c>
      <c r="Y23" s="20">
        <f t="shared" si="1"/>
        <v>7.25</v>
      </c>
      <c r="Z23" s="21">
        <f t="shared" si="2"/>
        <v>7.25</v>
      </c>
      <c r="AA23" s="21">
        <f t="shared" si="8"/>
        <v>0</v>
      </c>
      <c r="AB23" s="20">
        <v>7.25</v>
      </c>
      <c r="AC23">
        <f t="shared" si="9"/>
        <v>7.25</v>
      </c>
    </row>
    <row r="24" spans="2:29" x14ac:dyDescent="0.2">
      <c r="B24" s="17">
        <v>46345</v>
      </c>
      <c r="C24" s="18" t="str">
        <f t="shared" si="3"/>
        <v>木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44"/>
      <c r="V24" s="2">
        <v>0.375</v>
      </c>
      <c r="W24" s="2">
        <v>0.72916666666666663</v>
      </c>
      <c r="X24" s="2">
        <v>5.2083333333333336E-2</v>
      </c>
      <c r="Y24" s="20">
        <f t="shared" si="1"/>
        <v>7.25</v>
      </c>
      <c r="Z24" s="21">
        <f t="shared" si="2"/>
        <v>7.25</v>
      </c>
      <c r="AA24" s="21">
        <f t="shared" si="8"/>
        <v>0</v>
      </c>
      <c r="AB24" s="20">
        <v>7.25</v>
      </c>
      <c r="AC24">
        <f t="shared" si="9"/>
        <v>7.25</v>
      </c>
    </row>
    <row r="25" spans="2:29" x14ac:dyDescent="0.2">
      <c r="B25" s="17">
        <v>46346</v>
      </c>
      <c r="C25" s="18" t="str">
        <f t="shared" si="3"/>
        <v>金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19"/>
      <c r="V25" s="2">
        <v>0.375</v>
      </c>
      <c r="W25" s="2">
        <v>0.72916666666666663</v>
      </c>
      <c r="X25" s="2">
        <v>5.2083333333333336E-2</v>
      </c>
      <c r="Y25" s="20">
        <f t="shared" si="1"/>
        <v>7.25</v>
      </c>
      <c r="Z25" s="21">
        <f t="shared" si="2"/>
        <v>7.25</v>
      </c>
      <c r="AA25" s="21">
        <f t="shared" si="8"/>
        <v>0</v>
      </c>
      <c r="AB25" s="20">
        <v>7.25</v>
      </c>
      <c r="AC25">
        <f t="shared" si="9"/>
        <v>7.25</v>
      </c>
    </row>
    <row r="26" spans="2:29" x14ac:dyDescent="0.2">
      <c r="B26" s="17">
        <v>46347</v>
      </c>
      <c r="C26" s="18" t="str">
        <f t="shared" si="3"/>
        <v>土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44"/>
      <c r="V26" s="2"/>
      <c r="W26" s="2"/>
      <c r="X26" s="2"/>
      <c r="Y26" s="20">
        <f t="shared" si="1"/>
        <v>0</v>
      </c>
      <c r="Z26" s="21">
        <f t="shared" si="2"/>
        <v>0</v>
      </c>
      <c r="AA26" s="21"/>
      <c r="AB26" s="20"/>
    </row>
    <row r="27" spans="2:29" x14ac:dyDescent="0.2">
      <c r="B27" s="17">
        <v>46348</v>
      </c>
      <c r="C27" s="18" t="str">
        <f t="shared" si="3"/>
        <v>日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44"/>
      <c r="V27" s="2"/>
      <c r="W27" s="2"/>
      <c r="X27" s="2"/>
      <c r="Y27" s="20">
        <f t="shared" si="1"/>
        <v>0</v>
      </c>
      <c r="Z27" s="21">
        <f t="shared" si="2"/>
        <v>0</v>
      </c>
      <c r="AA27" s="21"/>
      <c r="AB27" s="20"/>
    </row>
    <row r="28" spans="2:29" x14ac:dyDescent="0.2">
      <c r="B28" s="17">
        <v>46349</v>
      </c>
      <c r="C28" s="18" t="str">
        <f t="shared" si="3"/>
        <v>月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45" t="s">
        <v>28</v>
      </c>
      <c r="V28" s="2"/>
      <c r="W28" s="2"/>
      <c r="X28" s="2"/>
      <c r="Y28" s="20">
        <f t="shared" si="1"/>
        <v>0</v>
      </c>
      <c r="Z28" s="21">
        <f t="shared" si="2"/>
        <v>0</v>
      </c>
      <c r="AA28" s="21"/>
      <c r="AB28" s="20"/>
    </row>
    <row r="29" spans="2:29" x14ac:dyDescent="0.2">
      <c r="B29" s="17">
        <v>46350</v>
      </c>
      <c r="C29" s="18" t="str">
        <f t="shared" si="3"/>
        <v>火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45"/>
      <c r="V29" s="2">
        <v>0.375</v>
      </c>
      <c r="W29" s="2">
        <v>0.72916666666666663</v>
      </c>
      <c r="X29" s="2">
        <v>5.2083333333333336E-2</v>
      </c>
      <c r="Y29" s="20">
        <f t="shared" si="1"/>
        <v>7.25</v>
      </c>
      <c r="Z29" s="21">
        <f t="shared" si="2"/>
        <v>7.25</v>
      </c>
      <c r="AA29" s="21">
        <f t="shared" ref="AA29:AA32" si="10">AC29-AB29</f>
        <v>0</v>
      </c>
      <c r="AB29" s="20">
        <v>7.25</v>
      </c>
      <c r="AC29">
        <f t="shared" ref="AC29:AC32" si="11">ABS(Y29)</f>
        <v>7.25</v>
      </c>
    </row>
    <row r="30" spans="2:29" x14ac:dyDescent="0.2">
      <c r="B30" s="17">
        <v>46351</v>
      </c>
      <c r="C30" s="18" t="str">
        <f t="shared" si="3"/>
        <v>水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4"/>
      <c r="V30" s="2">
        <v>0.375</v>
      </c>
      <c r="W30" s="2">
        <v>0.72916666666666663</v>
      </c>
      <c r="X30" s="2">
        <v>5.2083333333333336E-2</v>
      </c>
      <c r="Y30" s="20">
        <f t="shared" si="1"/>
        <v>7.25</v>
      </c>
      <c r="Z30" s="21">
        <f t="shared" si="2"/>
        <v>7.25</v>
      </c>
      <c r="AA30" s="21">
        <f t="shared" si="10"/>
        <v>0</v>
      </c>
      <c r="AB30" s="20">
        <v>7.25</v>
      </c>
      <c r="AC30">
        <f t="shared" si="11"/>
        <v>7.25</v>
      </c>
    </row>
    <row r="31" spans="2:29" x14ac:dyDescent="0.2">
      <c r="B31" s="17">
        <v>46352</v>
      </c>
      <c r="C31" s="18" t="str">
        <f t="shared" si="3"/>
        <v>木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44"/>
      <c r="V31" s="2">
        <v>0.375</v>
      </c>
      <c r="W31" s="2">
        <v>0.72916666666666663</v>
      </c>
      <c r="X31" s="2">
        <v>5.2083333333333336E-2</v>
      </c>
      <c r="Y31" s="20">
        <f t="shared" si="1"/>
        <v>7.25</v>
      </c>
      <c r="Z31" s="21">
        <f t="shared" si="2"/>
        <v>7.25</v>
      </c>
      <c r="AA31" s="21">
        <f t="shared" si="10"/>
        <v>0</v>
      </c>
      <c r="AB31" s="20">
        <v>7.25</v>
      </c>
      <c r="AC31">
        <f t="shared" si="11"/>
        <v>7.25</v>
      </c>
    </row>
    <row r="32" spans="2:29" x14ac:dyDescent="0.2">
      <c r="B32" s="17">
        <v>46353</v>
      </c>
      <c r="C32" s="18" t="str">
        <f t="shared" si="3"/>
        <v>金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44"/>
      <c r="V32" s="2">
        <v>0.375</v>
      </c>
      <c r="W32" s="2">
        <v>0.72916666666666663</v>
      </c>
      <c r="X32" s="2">
        <v>5.2083333333333336E-2</v>
      </c>
      <c r="Y32" s="20">
        <f t="shared" si="1"/>
        <v>7.25</v>
      </c>
      <c r="Z32" s="21">
        <f t="shared" si="2"/>
        <v>7.25</v>
      </c>
      <c r="AA32" s="21">
        <f t="shared" si="10"/>
        <v>0</v>
      </c>
      <c r="AB32" s="20">
        <v>7.25</v>
      </c>
      <c r="AC32">
        <f t="shared" si="11"/>
        <v>7.25</v>
      </c>
    </row>
    <row r="33" spans="2:29" x14ac:dyDescent="0.2">
      <c r="B33" s="17">
        <v>46354</v>
      </c>
      <c r="C33" s="18" t="str">
        <f t="shared" si="3"/>
        <v>土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44"/>
      <c r="V33" s="2"/>
      <c r="W33" s="2"/>
      <c r="X33" s="2"/>
      <c r="Y33" s="20">
        <f t="shared" si="1"/>
        <v>0</v>
      </c>
      <c r="Z33" s="21">
        <f t="shared" si="2"/>
        <v>0</v>
      </c>
      <c r="AA33" s="21"/>
      <c r="AB33" s="20"/>
    </row>
    <row r="34" spans="2:29" x14ac:dyDescent="0.2">
      <c r="B34" s="17">
        <v>46355</v>
      </c>
      <c r="C34" s="18" t="str">
        <f t="shared" si="3"/>
        <v>日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48"/>
      <c r="V34" s="2"/>
      <c r="W34" s="2"/>
      <c r="X34" s="2"/>
      <c r="Y34" s="20">
        <f t="shared" si="1"/>
        <v>0</v>
      </c>
      <c r="Z34" s="21">
        <f t="shared" si="2"/>
        <v>0</v>
      </c>
      <c r="AA34" s="21"/>
      <c r="AB34" s="20"/>
    </row>
    <row r="35" spans="2:29" x14ac:dyDescent="0.2">
      <c r="B35" s="17">
        <v>46356</v>
      </c>
      <c r="C35" s="18" t="str">
        <f t="shared" si="3"/>
        <v>月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52"/>
      <c r="V35" s="2">
        <v>0.375</v>
      </c>
      <c r="W35" s="2">
        <v>0.72916666666666663</v>
      </c>
      <c r="X35" s="2">
        <v>5.2083333333333336E-2</v>
      </c>
      <c r="Y35" s="20">
        <f t="shared" si="1"/>
        <v>7.25</v>
      </c>
      <c r="Z35" s="21">
        <f t="shared" si="2"/>
        <v>7.25</v>
      </c>
      <c r="AA35" s="21">
        <f t="shared" ref="AA35" si="12">AC35-AB35</f>
        <v>0</v>
      </c>
      <c r="AB35" s="20">
        <v>7.25</v>
      </c>
      <c r="AC35">
        <f t="shared" ref="AC35" si="13">ABS(Y35)</f>
        <v>7.25</v>
      </c>
    </row>
    <row r="36" spans="2:29" ht="13.8" thickBo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/>
      <c r="U36" s="49"/>
      <c r="V36" s="2"/>
      <c r="W36" s="2"/>
      <c r="X36" s="2"/>
      <c r="Y36" s="20"/>
      <c r="Z36" s="21"/>
      <c r="AA36" s="21"/>
      <c r="AB36" s="20"/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T37" si="14">SUM(E6:E36)</f>
        <v>0</v>
      </c>
      <c r="F37" s="22">
        <f t="shared" si="14"/>
        <v>0</v>
      </c>
      <c r="G37" s="22">
        <f t="shared" si="14"/>
        <v>0</v>
      </c>
      <c r="H37" s="22">
        <f t="shared" si="14"/>
        <v>0</v>
      </c>
      <c r="I37" s="22">
        <f t="shared" si="14"/>
        <v>0</v>
      </c>
      <c r="J37" s="22">
        <f t="shared" si="14"/>
        <v>0</v>
      </c>
      <c r="K37" s="22">
        <f t="shared" si="14"/>
        <v>0</v>
      </c>
      <c r="L37" s="22">
        <f t="shared" si="14"/>
        <v>0</v>
      </c>
      <c r="M37" s="22">
        <f t="shared" si="14"/>
        <v>0</v>
      </c>
      <c r="N37" s="22">
        <f t="shared" si="14"/>
        <v>0</v>
      </c>
      <c r="O37" s="22">
        <f t="shared" si="14"/>
        <v>0</v>
      </c>
      <c r="P37" s="22">
        <f>SUM(P6:P36)</f>
        <v>0</v>
      </c>
      <c r="Q37" s="22">
        <f>SUM(Q6:Q36)</f>
        <v>0</v>
      </c>
      <c r="R37" s="22">
        <f>SUM(R6:R36)</f>
        <v>0</v>
      </c>
      <c r="S37" s="22">
        <f t="shared" si="14"/>
        <v>0</v>
      </c>
      <c r="T37" s="23">
        <f t="shared" si="14"/>
        <v>0</v>
      </c>
      <c r="U37" s="24"/>
      <c r="V37" s="2"/>
      <c r="Y37" s="21"/>
      <c r="AA37" s="21">
        <f>SUM(AA6:AA36)</f>
        <v>0</v>
      </c>
      <c r="AB37" s="21">
        <f>SUM(AB6:AB36)</f>
        <v>137.75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17"/>
      <c r="C41" s="18" t="str">
        <f t="shared" ref="C41:C47" si="15">TEXT(B41,"aaa")</f>
        <v>土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>
        <f t="shared" ref="T41:T46" si="16">SUM(D41:S41)</f>
        <v>0</v>
      </c>
      <c r="U41" s="40"/>
    </row>
    <row r="42" spans="2:29" x14ac:dyDescent="0.2">
      <c r="B42" s="17"/>
      <c r="C42" s="18" t="str">
        <f t="shared" si="15"/>
        <v>土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>
        <f t="shared" si="16"/>
        <v>0</v>
      </c>
      <c r="U42" s="40"/>
    </row>
    <row r="43" spans="2:29" x14ac:dyDescent="0.2">
      <c r="B43" s="17"/>
      <c r="C43" s="18" t="str">
        <f t="shared" si="15"/>
        <v>土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>
        <f t="shared" si="16"/>
        <v>0</v>
      </c>
      <c r="U43" s="40"/>
    </row>
    <row r="44" spans="2:29" x14ac:dyDescent="0.2">
      <c r="B44" s="17"/>
      <c r="C44" s="18" t="str">
        <f t="shared" si="15"/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si="16"/>
        <v>0</v>
      </c>
      <c r="U44" s="40"/>
    </row>
    <row r="45" spans="2:29" x14ac:dyDescent="0.2">
      <c r="B45" s="17"/>
      <c r="C45" s="18" t="str">
        <f t="shared" si="15"/>
        <v>土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>
        <f t="shared" si="16"/>
        <v>0</v>
      </c>
      <c r="U45" s="40"/>
    </row>
    <row r="46" spans="2:29" x14ac:dyDescent="0.2">
      <c r="B46" s="17"/>
      <c r="C46" s="18" t="str">
        <f t="shared" si="15"/>
        <v>土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si="16"/>
        <v>0</v>
      </c>
      <c r="U46" s="40"/>
    </row>
    <row r="47" spans="2:29" x14ac:dyDescent="0.2">
      <c r="B47" s="17"/>
      <c r="C47" s="18" t="str">
        <f t="shared" si="15"/>
        <v>土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>
        <f t="shared" ref="T47" si="17">SUM(D47:S47)</f>
        <v>0</v>
      </c>
      <c r="U47" s="40"/>
    </row>
    <row r="48" spans="2:29" x14ac:dyDescent="0.2">
      <c r="B48" s="54"/>
      <c r="C48" s="18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>
        <f t="shared" ref="T48" si="18">SUM(D48:S48)</f>
        <v>0</v>
      </c>
      <c r="U48" s="40"/>
      <c r="W48" s="38"/>
    </row>
    <row r="49" spans="2:23" ht="13.8" thickBot="1" x14ac:dyDescent="0.25">
      <c r="B49" s="25"/>
      <c r="C49" s="2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42"/>
      <c r="W49" s="38"/>
    </row>
    <row r="50" spans="2:23" ht="13.8" thickTop="1" x14ac:dyDescent="0.2">
      <c r="B50" s="29" t="s">
        <v>21</v>
      </c>
      <c r="C50" s="22" t="s">
        <v>0</v>
      </c>
      <c r="D50" s="22">
        <f t="shared" ref="D50:T50" si="19">SUM(D41:D49)</f>
        <v>0</v>
      </c>
      <c r="E50" s="22">
        <f t="shared" si="19"/>
        <v>0</v>
      </c>
      <c r="F50" s="22">
        <f t="shared" si="19"/>
        <v>0</v>
      </c>
      <c r="G50" s="22">
        <f t="shared" si="19"/>
        <v>0</v>
      </c>
      <c r="H50" s="22">
        <f t="shared" si="19"/>
        <v>0</v>
      </c>
      <c r="I50" s="22">
        <f t="shared" si="19"/>
        <v>0</v>
      </c>
      <c r="J50" s="22">
        <f t="shared" si="19"/>
        <v>0</v>
      </c>
      <c r="K50" s="22">
        <f t="shared" si="19"/>
        <v>0</v>
      </c>
      <c r="L50" s="22">
        <f t="shared" si="19"/>
        <v>0</v>
      </c>
      <c r="M50" s="22">
        <f t="shared" si="19"/>
        <v>0</v>
      </c>
      <c r="N50" s="22">
        <f t="shared" si="19"/>
        <v>0</v>
      </c>
      <c r="O50" s="22">
        <f t="shared" si="19"/>
        <v>0</v>
      </c>
      <c r="P50" s="22">
        <f t="shared" si="19"/>
        <v>0</v>
      </c>
      <c r="Q50" s="22">
        <f t="shared" si="19"/>
        <v>0</v>
      </c>
      <c r="R50" s="22">
        <f t="shared" si="19"/>
        <v>0</v>
      </c>
      <c r="S50" s="22">
        <f t="shared" si="19"/>
        <v>0</v>
      </c>
      <c r="T50" s="22">
        <f t="shared" si="19"/>
        <v>0</v>
      </c>
      <c r="U50" s="43"/>
    </row>
  </sheetData>
  <phoneticPr fontId="1"/>
  <conditionalFormatting sqref="Z6:Z36">
    <cfRule type="cellIs" dxfId="5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B1:AC52"/>
  <sheetViews>
    <sheetView topLeftCell="B1" zoomScale="70" zoomScaleNormal="70" workbookViewId="0">
      <pane xSplit="2" ySplit="5" topLeftCell="D6" activePane="bottomRight" state="frozen"/>
      <selection activeCell="D1" sqref="D1:Q2"/>
      <selection pane="topRight" activeCell="D1" sqref="D1:Q2"/>
      <selection pane="bottomLeft" activeCell="D1" sqref="D1:Q2"/>
      <selection pane="bottomRight" activeCell="T38" sqref="T38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33"/>
      <c r="I1" s="61"/>
      <c r="K1" s="38"/>
      <c r="M1" s="38"/>
      <c r="N1" s="62"/>
    </row>
    <row r="2" spans="2:29" ht="39.6" x14ac:dyDescent="0.2">
      <c r="B2" s="15" t="s">
        <v>6</v>
      </c>
      <c r="C2" s="11"/>
      <c r="D2" s="16"/>
      <c r="E2" s="16"/>
      <c r="F2" s="64"/>
      <c r="G2" s="16"/>
      <c r="H2" s="16"/>
      <c r="I2" s="64"/>
      <c r="J2" s="16"/>
      <c r="K2" s="16"/>
      <c r="L2" s="16"/>
      <c r="M2" s="16"/>
      <c r="N2" s="64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13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 t="str">
        <f>IF(ISERROR(VLOOKUP(P2,件番!$A$10:$D$113,2,FALSE)),"",(VLOOKUP(P2,件番!$A$10:$D$113,2,FALSE)))</f>
        <v/>
      </c>
      <c r="Q3" s="13"/>
      <c r="R3" s="13" t="str">
        <f>IF(ISERROR(VLOOKUP(R2,件番!$A$10:$D$113,2,FALSE)),"",(VLOOKUP(R2,件番!$A$10:$D$113,2,FALSE)))</f>
        <v/>
      </c>
      <c r="S3" s="13" t="str">
        <f>IF(ISERROR(VLOOKUP(S2,件番!$A$3:$D$113,2,FALSE)),"",(VLOOKUP(S2,件番!$A$3:$D$113,2,FALSE)))</f>
        <v>2032B1008</v>
      </c>
      <c r="T3" s="13"/>
      <c r="U3" s="13"/>
    </row>
    <row r="4" spans="2:29" ht="27" customHeight="1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13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 t="str">
        <f>IF(ISERROR(VLOOKUP(P2,件番!$A$10:$D$113,2,FALSE)),"",(VLOOKUP(P2,件番!$A$10:$D$113,3,FALSE)))</f>
        <v/>
      </c>
      <c r="Q4" s="13"/>
      <c r="R4" s="13" t="str">
        <f>IF(ISERROR(VLOOKUP(R2,件番!$A$10:$D$113,2,FALSE)),"",(VLOOKUP(R2,件番!$A$10:$D$113,3,FALSE)))</f>
        <v/>
      </c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13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 t="str">
        <f>IF(ISERROR(VLOOKUP(P2,件番!$A$10:$D$113,2,FALSE)),"",(VLOOKUP(P2,件番!$A$10:$D$113,4,FALSE)))</f>
        <v/>
      </c>
      <c r="Q5" s="13"/>
      <c r="R5" s="13" t="str">
        <f>IF(ISERROR(VLOOKUP(R2,件番!$A$10:$D$113,2,FALSE)),"",(VLOOKUP(R2,件番!$A$10:$D$113,4,FALSE)))</f>
        <v/>
      </c>
      <c r="S5" s="13">
        <f>IF(ISERROR(VLOOKUP(S2,件番!$A$3:$D$113,2,FALSE)),"",(VLOOKUP(S2,件番!$A$3:$D$113,4,FALSE)))</f>
        <v>0</v>
      </c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46357</v>
      </c>
      <c r="C6" s="18" t="str">
        <f>TEXT(B6,"aaa")</f>
        <v>火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6" si="0">SUM(D6:S6)</f>
        <v>0</v>
      </c>
      <c r="U6" s="48"/>
      <c r="V6" s="2">
        <v>0.375</v>
      </c>
      <c r="W6" s="2">
        <v>0.72916666666666663</v>
      </c>
      <c r="X6" s="2">
        <v>5.2083333333333336E-2</v>
      </c>
      <c r="Y6" s="20">
        <f t="shared" ref="Y6:Y9" si="1">(W6-V6-X6)*24</f>
        <v>7.25</v>
      </c>
      <c r="Z6" s="21">
        <f t="shared" ref="Z6:Z9" si="2">Y6-T6</f>
        <v>7.25</v>
      </c>
      <c r="AA6" s="21">
        <f t="shared" ref="AA6:AA9" si="3">AC6-AB6</f>
        <v>0</v>
      </c>
      <c r="AB6" s="20">
        <v>7.25</v>
      </c>
      <c r="AC6">
        <f t="shared" ref="AC6:AC9" si="4">ABS(Y6)</f>
        <v>7.25</v>
      </c>
    </row>
    <row r="7" spans="2:29" x14ac:dyDescent="0.2">
      <c r="B7" s="17">
        <v>46358</v>
      </c>
      <c r="C7" s="18" t="str">
        <f t="shared" ref="C7:C35" si="5">TEXT(B7,"aaa")</f>
        <v>水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48"/>
      <c r="V7" s="2">
        <v>0.375</v>
      </c>
      <c r="W7" s="2">
        <v>0.72916666666666663</v>
      </c>
      <c r="X7" s="2">
        <v>5.2083333333333336E-2</v>
      </c>
      <c r="Y7" s="20">
        <f t="shared" si="1"/>
        <v>7.25</v>
      </c>
      <c r="Z7" s="21">
        <f t="shared" si="2"/>
        <v>7.25</v>
      </c>
      <c r="AA7" s="21">
        <f t="shared" si="3"/>
        <v>0</v>
      </c>
      <c r="AB7" s="20">
        <v>7.25</v>
      </c>
      <c r="AC7">
        <f t="shared" si="4"/>
        <v>7.25</v>
      </c>
    </row>
    <row r="8" spans="2:29" x14ac:dyDescent="0.2">
      <c r="B8" s="17">
        <v>46359</v>
      </c>
      <c r="C8" s="18" t="str">
        <f t="shared" si="5"/>
        <v>木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48"/>
      <c r="V8" s="2">
        <v>0.375</v>
      </c>
      <c r="W8" s="2">
        <v>0.72916666666666663</v>
      </c>
      <c r="X8" s="2">
        <v>5.2083333333333336E-2</v>
      </c>
      <c r="Y8" s="20">
        <f t="shared" si="1"/>
        <v>7.25</v>
      </c>
      <c r="Z8" s="21">
        <f t="shared" si="2"/>
        <v>7.25</v>
      </c>
      <c r="AA8" s="21">
        <f t="shared" si="3"/>
        <v>0</v>
      </c>
      <c r="AB8" s="20">
        <v>7.25</v>
      </c>
      <c r="AC8">
        <f t="shared" si="4"/>
        <v>7.25</v>
      </c>
    </row>
    <row r="9" spans="2:29" x14ac:dyDescent="0.2">
      <c r="B9" s="17">
        <v>46360</v>
      </c>
      <c r="C9" s="18" t="str">
        <f t="shared" si="5"/>
        <v>金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48" t="s">
        <v>51</v>
      </c>
      <c r="V9" s="2">
        <v>0.375</v>
      </c>
      <c r="W9" s="2">
        <v>0.72916666666666663</v>
      </c>
      <c r="X9" s="2">
        <v>5.2083333333333336E-2</v>
      </c>
      <c r="Y9" s="20">
        <f t="shared" si="1"/>
        <v>7.25</v>
      </c>
      <c r="Z9" s="21">
        <f t="shared" si="2"/>
        <v>7.25</v>
      </c>
      <c r="AA9" s="21">
        <f t="shared" si="3"/>
        <v>0</v>
      </c>
      <c r="AB9" s="20">
        <v>7.25</v>
      </c>
      <c r="AC9">
        <f t="shared" si="4"/>
        <v>7.25</v>
      </c>
    </row>
    <row r="10" spans="2:29" x14ac:dyDescent="0.2">
      <c r="B10" s="17">
        <v>46361</v>
      </c>
      <c r="C10" s="18" t="str">
        <f t="shared" si="5"/>
        <v>土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48"/>
      <c r="V10" s="2"/>
      <c r="W10" s="2"/>
      <c r="X10" s="2"/>
      <c r="Y10" s="20">
        <f t="shared" ref="Y10:Y36" si="6">(W10-V10-X10)*24</f>
        <v>0</v>
      </c>
      <c r="Z10" s="21">
        <f t="shared" ref="Z10:Z36" si="7">Y10-T10</f>
        <v>0</v>
      </c>
      <c r="AA10" s="21"/>
      <c r="AB10" s="20"/>
    </row>
    <row r="11" spans="2:29" x14ac:dyDescent="0.2">
      <c r="B11" s="17">
        <v>46362</v>
      </c>
      <c r="C11" s="18" t="str">
        <f t="shared" si="5"/>
        <v>日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44"/>
      <c r="V11" s="2"/>
      <c r="W11" s="2"/>
      <c r="X11" s="2"/>
      <c r="Y11" s="20">
        <f t="shared" si="6"/>
        <v>0</v>
      </c>
      <c r="Z11" s="21">
        <f t="shared" si="7"/>
        <v>0</v>
      </c>
      <c r="AA11" s="21"/>
      <c r="AB11" s="20"/>
    </row>
    <row r="12" spans="2:29" x14ac:dyDescent="0.2">
      <c r="B12" s="17">
        <v>46363</v>
      </c>
      <c r="C12" s="18" t="str">
        <f t="shared" si="5"/>
        <v>月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44"/>
      <c r="V12" s="2">
        <v>0.375</v>
      </c>
      <c r="W12" s="2">
        <v>0.72916666666666663</v>
      </c>
      <c r="X12" s="2">
        <v>5.2083333333333336E-2</v>
      </c>
      <c r="Y12" s="20">
        <f t="shared" si="6"/>
        <v>7.25</v>
      </c>
      <c r="Z12" s="21">
        <f t="shared" si="7"/>
        <v>7.25</v>
      </c>
      <c r="AA12" s="21">
        <f t="shared" ref="AA12:AA16" si="8">AC12-AB12</f>
        <v>0</v>
      </c>
      <c r="AB12" s="20">
        <v>7.25</v>
      </c>
      <c r="AC12">
        <f t="shared" ref="AC12:AC16" si="9">ABS(Y12)</f>
        <v>7.25</v>
      </c>
    </row>
    <row r="13" spans="2:29" x14ac:dyDescent="0.2">
      <c r="B13" s="17">
        <v>46364</v>
      </c>
      <c r="C13" s="18" t="str">
        <f t="shared" si="5"/>
        <v>火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44"/>
      <c r="V13" s="2">
        <v>0.375</v>
      </c>
      <c r="W13" s="2">
        <v>0.72916666666666663</v>
      </c>
      <c r="X13" s="2">
        <v>5.2083333333333336E-2</v>
      </c>
      <c r="Y13" s="20">
        <f t="shared" si="6"/>
        <v>7.25</v>
      </c>
      <c r="Z13" s="21">
        <f t="shared" si="7"/>
        <v>7.25</v>
      </c>
      <c r="AA13" s="21">
        <f t="shared" si="8"/>
        <v>0</v>
      </c>
      <c r="AB13" s="20">
        <v>7.25</v>
      </c>
      <c r="AC13">
        <f t="shared" si="9"/>
        <v>7.25</v>
      </c>
    </row>
    <row r="14" spans="2:29" x14ac:dyDescent="0.2">
      <c r="B14" s="17">
        <v>46365</v>
      </c>
      <c r="C14" s="18" t="str">
        <f t="shared" si="5"/>
        <v>水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>SUM(D14:S14)</f>
        <v>0</v>
      </c>
      <c r="U14" s="45"/>
      <c r="V14" s="2">
        <v>0.375</v>
      </c>
      <c r="W14" s="2">
        <v>0.72916666666666663</v>
      </c>
      <c r="X14" s="2">
        <v>5.2083333333333336E-2</v>
      </c>
      <c r="Y14" s="20">
        <f t="shared" si="6"/>
        <v>7.25</v>
      </c>
      <c r="Z14" s="21">
        <f t="shared" si="7"/>
        <v>7.25</v>
      </c>
      <c r="AA14" s="21">
        <f t="shared" si="8"/>
        <v>0</v>
      </c>
      <c r="AB14" s="20">
        <v>7.25</v>
      </c>
      <c r="AC14">
        <f t="shared" si="9"/>
        <v>7.25</v>
      </c>
    </row>
    <row r="15" spans="2:29" x14ac:dyDescent="0.2">
      <c r="B15" s="17">
        <v>46366</v>
      </c>
      <c r="C15" s="18" t="str">
        <f t="shared" si="5"/>
        <v>木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44"/>
      <c r="V15" s="2">
        <v>0.375</v>
      </c>
      <c r="W15" s="2">
        <v>0.72916666666666663</v>
      </c>
      <c r="X15" s="2">
        <v>5.2083333333333336E-2</v>
      </c>
      <c r="Y15" s="20">
        <f t="shared" si="6"/>
        <v>7.25</v>
      </c>
      <c r="Z15" s="21">
        <f t="shared" si="7"/>
        <v>7.25</v>
      </c>
      <c r="AA15" s="21">
        <f t="shared" si="8"/>
        <v>0</v>
      </c>
      <c r="AB15" s="20">
        <v>7.25</v>
      </c>
      <c r="AC15">
        <f t="shared" si="9"/>
        <v>7.25</v>
      </c>
    </row>
    <row r="16" spans="2:29" x14ac:dyDescent="0.2">
      <c r="B16" s="17">
        <v>46367</v>
      </c>
      <c r="C16" s="18" t="str">
        <f t="shared" si="5"/>
        <v>金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44"/>
      <c r="V16" s="2">
        <v>0.375</v>
      </c>
      <c r="W16" s="2">
        <v>0.72916666666666663</v>
      </c>
      <c r="X16" s="2">
        <v>5.2083333333333336E-2</v>
      </c>
      <c r="Y16" s="20">
        <f t="shared" si="6"/>
        <v>7.25</v>
      </c>
      <c r="Z16" s="21">
        <f t="shared" si="7"/>
        <v>7.25</v>
      </c>
      <c r="AA16" s="21">
        <f t="shared" si="8"/>
        <v>0</v>
      </c>
      <c r="AB16" s="20">
        <v>7.25</v>
      </c>
      <c r="AC16">
        <f t="shared" si="9"/>
        <v>7.25</v>
      </c>
    </row>
    <row r="17" spans="2:29" x14ac:dyDescent="0.2">
      <c r="B17" s="17">
        <v>46368</v>
      </c>
      <c r="C17" s="18" t="str">
        <f t="shared" si="5"/>
        <v>土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19"/>
      <c r="V17" s="2"/>
      <c r="W17" s="2"/>
      <c r="X17" s="2"/>
      <c r="Y17" s="20">
        <f t="shared" si="6"/>
        <v>0</v>
      </c>
      <c r="Z17" s="21">
        <f t="shared" si="7"/>
        <v>0</v>
      </c>
      <c r="AA17" s="21"/>
      <c r="AB17" s="20"/>
    </row>
    <row r="18" spans="2:29" x14ac:dyDescent="0.2">
      <c r="B18" s="17">
        <v>46369</v>
      </c>
      <c r="C18" s="18" t="str">
        <f t="shared" si="5"/>
        <v>日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44"/>
      <c r="V18" s="2"/>
      <c r="W18" s="2"/>
      <c r="X18" s="2"/>
      <c r="Y18" s="20">
        <f t="shared" si="6"/>
        <v>0</v>
      </c>
      <c r="Z18" s="21">
        <f t="shared" si="7"/>
        <v>0</v>
      </c>
      <c r="AA18" s="21"/>
      <c r="AB18" s="20"/>
    </row>
    <row r="19" spans="2:29" x14ac:dyDescent="0.2">
      <c r="B19" s="17">
        <v>46370</v>
      </c>
      <c r="C19" s="18" t="str">
        <f t="shared" si="5"/>
        <v>月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44"/>
      <c r="V19" s="2">
        <v>0.375</v>
      </c>
      <c r="W19" s="2">
        <v>0.72916666666666663</v>
      </c>
      <c r="X19" s="2">
        <v>5.2083333333333336E-2</v>
      </c>
      <c r="Y19" s="20">
        <f t="shared" si="6"/>
        <v>7.25</v>
      </c>
      <c r="Z19" s="21">
        <f t="shared" si="7"/>
        <v>7.25</v>
      </c>
      <c r="AA19" s="21">
        <f t="shared" ref="AA19:AA23" si="10">AC19-AB19</f>
        <v>0</v>
      </c>
      <c r="AB19" s="20">
        <v>7.25</v>
      </c>
      <c r="AC19">
        <f t="shared" ref="AC19:AC23" si="11">ABS(Y19)</f>
        <v>7.25</v>
      </c>
    </row>
    <row r="20" spans="2:29" x14ac:dyDescent="0.2">
      <c r="B20" s="17">
        <v>46371</v>
      </c>
      <c r="C20" s="18" t="str">
        <f t="shared" si="5"/>
        <v>火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44"/>
      <c r="V20" s="2">
        <v>0.375</v>
      </c>
      <c r="W20" s="2">
        <v>0.72916666666666663</v>
      </c>
      <c r="X20" s="2">
        <v>5.2083333333333336E-2</v>
      </c>
      <c r="Y20" s="20">
        <f t="shared" si="6"/>
        <v>7.25</v>
      </c>
      <c r="Z20" s="21">
        <f t="shared" si="7"/>
        <v>7.25</v>
      </c>
      <c r="AA20" s="21">
        <f t="shared" si="10"/>
        <v>0</v>
      </c>
      <c r="AB20" s="20">
        <v>7.25</v>
      </c>
      <c r="AC20">
        <f t="shared" si="11"/>
        <v>7.25</v>
      </c>
    </row>
    <row r="21" spans="2:29" x14ac:dyDescent="0.2">
      <c r="B21" s="17">
        <v>46372</v>
      </c>
      <c r="C21" s="18" t="str">
        <f t="shared" si="5"/>
        <v>水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44"/>
      <c r="V21" s="2">
        <v>0.375</v>
      </c>
      <c r="W21" s="2">
        <v>0.72916666666666663</v>
      </c>
      <c r="X21" s="2">
        <v>5.2083333333333336E-2</v>
      </c>
      <c r="Y21" s="20">
        <f t="shared" si="6"/>
        <v>7.25</v>
      </c>
      <c r="Z21" s="21">
        <f t="shared" si="7"/>
        <v>7.25</v>
      </c>
      <c r="AA21" s="21">
        <f t="shared" si="10"/>
        <v>0</v>
      </c>
      <c r="AB21" s="20">
        <v>7.25</v>
      </c>
      <c r="AC21">
        <f t="shared" si="11"/>
        <v>7.25</v>
      </c>
    </row>
    <row r="22" spans="2:29" x14ac:dyDescent="0.2">
      <c r="B22" s="17">
        <v>46373</v>
      </c>
      <c r="C22" s="18" t="str">
        <f t="shared" si="5"/>
        <v>木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44"/>
      <c r="V22" s="2">
        <v>0.375</v>
      </c>
      <c r="W22" s="2">
        <v>0.72916666666666663</v>
      </c>
      <c r="X22" s="2">
        <v>5.2083333333333336E-2</v>
      </c>
      <c r="Y22" s="20">
        <f t="shared" si="6"/>
        <v>7.25</v>
      </c>
      <c r="Z22" s="21">
        <f t="shared" si="7"/>
        <v>7.25</v>
      </c>
      <c r="AA22" s="21">
        <f t="shared" si="10"/>
        <v>0</v>
      </c>
      <c r="AB22" s="20">
        <v>7.25</v>
      </c>
      <c r="AC22">
        <f t="shared" si="11"/>
        <v>7.25</v>
      </c>
    </row>
    <row r="23" spans="2:29" x14ac:dyDescent="0.2">
      <c r="B23" s="17">
        <v>46374</v>
      </c>
      <c r="C23" s="18" t="str">
        <f t="shared" si="5"/>
        <v>金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19"/>
      <c r="V23" s="2">
        <v>0.375</v>
      </c>
      <c r="W23" s="2">
        <v>0.72916666666666663</v>
      </c>
      <c r="X23" s="2">
        <v>5.2083333333333336E-2</v>
      </c>
      <c r="Y23" s="20">
        <f t="shared" si="6"/>
        <v>7.25</v>
      </c>
      <c r="Z23" s="21">
        <f t="shared" si="7"/>
        <v>7.25</v>
      </c>
      <c r="AA23" s="21">
        <f t="shared" si="10"/>
        <v>0</v>
      </c>
      <c r="AB23" s="20">
        <v>7.25</v>
      </c>
      <c r="AC23">
        <f t="shared" si="11"/>
        <v>7.25</v>
      </c>
    </row>
    <row r="24" spans="2:29" x14ac:dyDescent="0.2">
      <c r="B24" s="17">
        <v>46375</v>
      </c>
      <c r="C24" s="18" t="str">
        <f t="shared" si="5"/>
        <v>土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19"/>
      <c r="V24" s="2"/>
      <c r="W24" s="2"/>
      <c r="X24" s="2"/>
      <c r="Y24" s="20">
        <f t="shared" si="6"/>
        <v>0</v>
      </c>
      <c r="Z24" s="21">
        <f t="shared" si="7"/>
        <v>0</v>
      </c>
      <c r="AA24" s="21"/>
      <c r="AB24" s="20"/>
    </row>
    <row r="25" spans="2:29" x14ac:dyDescent="0.2">
      <c r="B25" s="17">
        <v>46376</v>
      </c>
      <c r="C25" s="18" t="str">
        <f t="shared" si="5"/>
        <v>日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19"/>
      <c r="V25" s="2"/>
      <c r="W25" s="2"/>
      <c r="X25" s="2"/>
      <c r="Y25" s="20">
        <f t="shared" si="6"/>
        <v>0</v>
      </c>
      <c r="Z25" s="21">
        <f t="shared" si="7"/>
        <v>0</v>
      </c>
      <c r="AA25" s="21"/>
      <c r="AB25" s="20"/>
    </row>
    <row r="26" spans="2:29" x14ac:dyDescent="0.2">
      <c r="B26" s="17">
        <v>46377</v>
      </c>
      <c r="C26" s="18" t="str">
        <f t="shared" si="5"/>
        <v>月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44"/>
      <c r="V26" s="2">
        <v>0.375</v>
      </c>
      <c r="W26" s="2">
        <v>0.72916666666666663</v>
      </c>
      <c r="X26" s="2">
        <v>5.2083333333333336E-2</v>
      </c>
      <c r="Y26" s="20">
        <f t="shared" si="6"/>
        <v>7.25</v>
      </c>
      <c r="Z26" s="21">
        <f t="shared" si="7"/>
        <v>7.25</v>
      </c>
      <c r="AA26" s="21">
        <f t="shared" ref="AA26:AA30" si="12">AC26-AB26</f>
        <v>0</v>
      </c>
      <c r="AB26" s="20">
        <v>7.25</v>
      </c>
      <c r="AC26">
        <f t="shared" ref="AC26:AC30" si="13">ABS(Y26)</f>
        <v>7.25</v>
      </c>
    </row>
    <row r="27" spans="2:29" x14ac:dyDescent="0.2">
      <c r="B27" s="17">
        <v>46378</v>
      </c>
      <c r="C27" s="18" t="str">
        <f t="shared" si="5"/>
        <v>火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44"/>
      <c r="V27" s="2">
        <v>0.375</v>
      </c>
      <c r="W27" s="2">
        <v>0.72916666666666663</v>
      </c>
      <c r="X27" s="2">
        <v>5.2083333333333336E-2</v>
      </c>
      <c r="Y27" s="20">
        <f t="shared" si="6"/>
        <v>7.25</v>
      </c>
      <c r="Z27" s="21">
        <f t="shared" si="7"/>
        <v>7.25</v>
      </c>
      <c r="AA27" s="21">
        <f t="shared" si="12"/>
        <v>0</v>
      </c>
      <c r="AB27" s="20">
        <v>7.25</v>
      </c>
      <c r="AC27">
        <f t="shared" si="13"/>
        <v>7.25</v>
      </c>
    </row>
    <row r="28" spans="2:29" x14ac:dyDescent="0.2">
      <c r="B28" s="17">
        <v>46379</v>
      </c>
      <c r="C28" s="18" t="str">
        <f t="shared" si="5"/>
        <v>水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45"/>
      <c r="V28" s="2">
        <v>0.375</v>
      </c>
      <c r="W28" s="2">
        <v>0.72916666666666663</v>
      </c>
      <c r="X28" s="2">
        <v>5.2083333333333336E-2</v>
      </c>
      <c r="Y28" s="20">
        <f t="shared" si="6"/>
        <v>7.25</v>
      </c>
      <c r="Z28" s="21">
        <f t="shared" si="7"/>
        <v>7.25</v>
      </c>
      <c r="AA28" s="21">
        <f t="shared" si="12"/>
        <v>0</v>
      </c>
      <c r="AB28" s="20">
        <v>7.25</v>
      </c>
      <c r="AC28">
        <f t="shared" si="13"/>
        <v>7.25</v>
      </c>
    </row>
    <row r="29" spans="2:29" x14ac:dyDescent="0.2">
      <c r="B29" s="17">
        <v>46380</v>
      </c>
      <c r="C29" s="18" t="str">
        <f t="shared" si="5"/>
        <v>木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39"/>
      <c r="V29" s="2">
        <v>0.375</v>
      </c>
      <c r="W29" s="2">
        <v>0.72916666666666663</v>
      </c>
      <c r="X29" s="2">
        <v>5.2083333333333336E-2</v>
      </c>
      <c r="Y29" s="20">
        <f t="shared" si="6"/>
        <v>7.25</v>
      </c>
      <c r="Z29" s="21">
        <f t="shared" si="7"/>
        <v>7.25</v>
      </c>
      <c r="AA29" s="21">
        <f t="shared" si="12"/>
        <v>0</v>
      </c>
      <c r="AB29" s="20">
        <v>7.25</v>
      </c>
      <c r="AC29">
        <f t="shared" si="13"/>
        <v>7.25</v>
      </c>
    </row>
    <row r="30" spans="2:29" x14ac:dyDescent="0.2">
      <c r="B30" s="17">
        <v>46381</v>
      </c>
      <c r="C30" s="18" t="str">
        <f t="shared" si="5"/>
        <v>金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5"/>
      <c r="V30" s="2">
        <v>0.375</v>
      </c>
      <c r="W30" s="2">
        <v>0.72916666666666663</v>
      </c>
      <c r="X30" s="2">
        <v>5.2083333333333336E-2</v>
      </c>
      <c r="Y30" s="20">
        <f t="shared" si="6"/>
        <v>7.25</v>
      </c>
      <c r="Z30" s="21">
        <f t="shared" si="7"/>
        <v>7.25</v>
      </c>
      <c r="AA30" s="21">
        <f t="shared" si="12"/>
        <v>0</v>
      </c>
      <c r="AB30" s="20">
        <v>7.25</v>
      </c>
      <c r="AC30">
        <f t="shared" si="13"/>
        <v>7.25</v>
      </c>
    </row>
    <row r="31" spans="2:29" x14ac:dyDescent="0.2">
      <c r="B31" s="17">
        <v>46382</v>
      </c>
      <c r="C31" s="18" t="str">
        <f t="shared" si="5"/>
        <v>土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44"/>
      <c r="V31" s="2"/>
      <c r="W31" s="2"/>
      <c r="X31" s="2"/>
      <c r="Y31" s="20">
        <f t="shared" si="6"/>
        <v>0</v>
      </c>
      <c r="Z31" s="21">
        <f t="shared" si="7"/>
        <v>0</v>
      </c>
      <c r="AA31" s="21"/>
      <c r="AB31" s="20"/>
    </row>
    <row r="32" spans="2:29" x14ac:dyDescent="0.2">
      <c r="B32" s="17">
        <v>46383</v>
      </c>
      <c r="C32" s="18" t="str">
        <f t="shared" si="5"/>
        <v>日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41"/>
      <c r="V32" s="2"/>
      <c r="W32" s="2"/>
      <c r="X32" s="2"/>
      <c r="Y32" s="20">
        <f t="shared" si="6"/>
        <v>0</v>
      </c>
      <c r="Z32" s="21">
        <f t="shared" si="7"/>
        <v>0</v>
      </c>
      <c r="AA32" s="21"/>
      <c r="AB32" s="20"/>
    </row>
    <row r="33" spans="2:29" x14ac:dyDescent="0.2">
      <c r="B33" s="17">
        <v>46384</v>
      </c>
      <c r="C33" s="18" t="str">
        <f t="shared" si="5"/>
        <v>月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41"/>
      <c r="V33" s="2">
        <v>0.375</v>
      </c>
      <c r="W33" s="2">
        <v>0.72916666666666663</v>
      </c>
      <c r="X33" s="2">
        <v>5.2083333333333336E-2</v>
      </c>
      <c r="Y33" s="20">
        <f t="shared" si="6"/>
        <v>7.25</v>
      </c>
      <c r="Z33" s="21">
        <f t="shared" si="7"/>
        <v>7.25</v>
      </c>
      <c r="AA33" s="21">
        <f t="shared" ref="AA33:AA34" si="14">AC33-AB33</f>
        <v>0</v>
      </c>
      <c r="AB33" s="20">
        <v>7.25</v>
      </c>
      <c r="AC33">
        <f t="shared" ref="AC33:AC34" si="15">ABS(Y33)</f>
        <v>7.25</v>
      </c>
    </row>
    <row r="34" spans="2:29" x14ac:dyDescent="0.2">
      <c r="B34" s="17">
        <v>46385</v>
      </c>
      <c r="C34" s="18" t="str">
        <f t="shared" si="5"/>
        <v>火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41"/>
      <c r="V34" s="2">
        <v>0.375</v>
      </c>
      <c r="W34" s="2">
        <v>0.72916666666666663</v>
      </c>
      <c r="X34" s="2">
        <v>5.2083333333333336E-2</v>
      </c>
      <c r="Y34" s="20">
        <f t="shared" si="6"/>
        <v>7.25</v>
      </c>
      <c r="Z34" s="21">
        <f t="shared" si="7"/>
        <v>7.25</v>
      </c>
      <c r="AA34" s="21">
        <f t="shared" si="14"/>
        <v>0</v>
      </c>
      <c r="AB34" s="20">
        <v>7.25</v>
      </c>
      <c r="AC34">
        <f t="shared" si="15"/>
        <v>7.25</v>
      </c>
    </row>
    <row r="35" spans="2:29" x14ac:dyDescent="0.2">
      <c r="B35" s="17">
        <v>46386</v>
      </c>
      <c r="C35" s="18" t="str">
        <f t="shared" si="5"/>
        <v>水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41"/>
      <c r="V35" s="2"/>
      <c r="W35" s="2"/>
      <c r="X35" s="2"/>
      <c r="Y35" s="20">
        <f t="shared" si="6"/>
        <v>0</v>
      </c>
      <c r="Z35" s="21">
        <f t="shared" si="7"/>
        <v>0</v>
      </c>
      <c r="AA35" s="21"/>
      <c r="AB35" s="20"/>
    </row>
    <row r="36" spans="2:29" ht="13.8" thickBot="1" x14ac:dyDescent="0.25">
      <c r="B36" s="25">
        <v>46387</v>
      </c>
      <c r="C36" s="26" t="str">
        <f>TEXT(B36,"aaa")</f>
        <v>木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>
        <f t="shared" si="0"/>
        <v>0</v>
      </c>
      <c r="U36" s="51"/>
      <c r="V36" s="2"/>
      <c r="W36" s="2"/>
      <c r="X36" s="2"/>
      <c r="Y36" s="20">
        <f t="shared" si="6"/>
        <v>0</v>
      </c>
      <c r="Z36" s="21">
        <f t="shared" si="7"/>
        <v>0</v>
      </c>
      <c r="AA36" s="21"/>
      <c r="AB36" s="20"/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S37" si="16">SUM(E6:E36)</f>
        <v>0</v>
      </c>
      <c r="F37" s="22">
        <f t="shared" si="16"/>
        <v>0</v>
      </c>
      <c r="G37" s="22">
        <f t="shared" si="16"/>
        <v>0</v>
      </c>
      <c r="H37" s="22">
        <f t="shared" si="16"/>
        <v>0</v>
      </c>
      <c r="I37" s="22">
        <f t="shared" si="16"/>
        <v>0</v>
      </c>
      <c r="J37" s="22">
        <f t="shared" si="16"/>
        <v>0</v>
      </c>
      <c r="K37" s="22">
        <f t="shared" si="16"/>
        <v>0</v>
      </c>
      <c r="L37" s="22">
        <f t="shared" si="16"/>
        <v>0</v>
      </c>
      <c r="M37" s="22">
        <f t="shared" si="16"/>
        <v>0</v>
      </c>
      <c r="N37" s="22">
        <f t="shared" si="16"/>
        <v>0</v>
      </c>
      <c r="O37" s="22">
        <f t="shared" si="16"/>
        <v>0</v>
      </c>
      <c r="P37" s="22">
        <f t="shared" si="16"/>
        <v>0</v>
      </c>
      <c r="Q37" s="22">
        <f t="shared" si="16"/>
        <v>0</v>
      </c>
      <c r="R37" s="22">
        <f t="shared" si="16"/>
        <v>0</v>
      </c>
      <c r="S37" s="22">
        <f t="shared" si="16"/>
        <v>0</v>
      </c>
      <c r="T37" s="23">
        <f>SUM(T6:T36)</f>
        <v>0</v>
      </c>
      <c r="U37" s="24"/>
      <c r="V37" s="2"/>
      <c r="Y37" s="21"/>
      <c r="AA37" s="21">
        <f>SUM(AA6:AA36)</f>
        <v>0</v>
      </c>
      <c r="AB37" s="21">
        <f>SUM(AB6:AB36)</f>
        <v>152.25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17"/>
      <c r="C41" s="18" t="str">
        <f t="shared" ref="C41:C49" si="17">TEXT(B41,"aaa")</f>
        <v>土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>
        <f t="shared" ref="T41:T42" si="18">SUM(D41:S41)</f>
        <v>0</v>
      </c>
      <c r="U41" s="40"/>
      <c r="W41" s="38"/>
    </row>
    <row r="42" spans="2:29" x14ac:dyDescent="0.2">
      <c r="B42" s="17"/>
      <c r="C42" s="18" t="str">
        <f t="shared" si="17"/>
        <v>土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>
        <f t="shared" si="18"/>
        <v>0</v>
      </c>
      <c r="U42" s="40"/>
      <c r="W42" s="38"/>
    </row>
    <row r="43" spans="2:29" x14ac:dyDescent="0.2">
      <c r="B43" s="17"/>
      <c r="C43" s="18" t="str">
        <f t="shared" si="17"/>
        <v>土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>
        <f>SUM(D43:S43)</f>
        <v>0</v>
      </c>
      <c r="U43" s="40"/>
      <c r="W43" s="38"/>
    </row>
    <row r="44" spans="2:29" x14ac:dyDescent="0.2">
      <c r="B44" s="17"/>
      <c r="C44" s="18" t="str">
        <f t="shared" si="17"/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ref="T44:T50" si="19">SUM(D44:S44)</f>
        <v>0</v>
      </c>
      <c r="U44" s="40"/>
      <c r="W44" s="38"/>
    </row>
    <row r="45" spans="2:29" x14ac:dyDescent="0.2">
      <c r="B45" s="17"/>
      <c r="C45" s="18" t="str">
        <f t="shared" si="17"/>
        <v>土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>
        <f t="shared" ref="T45" si="20">SUM(D45:S45)</f>
        <v>0</v>
      </c>
      <c r="U45" s="40"/>
      <c r="W45" s="38"/>
    </row>
    <row r="46" spans="2:29" x14ac:dyDescent="0.2">
      <c r="B46" s="17"/>
      <c r="C46" s="18" t="str">
        <f t="shared" si="17"/>
        <v>土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si="19"/>
        <v>0</v>
      </c>
      <c r="U46" s="40"/>
    </row>
    <row r="47" spans="2:29" x14ac:dyDescent="0.2">
      <c r="B47" s="17"/>
      <c r="C47" s="18" t="str">
        <f t="shared" si="17"/>
        <v>土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>
        <f t="shared" si="19"/>
        <v>0</v>
      </c>
      <c r="U47" s="40"/>
      <c r="W47" s="38"/>
    </row>
    <row r="48" spans="2:29" x14ac:dyDescent="0.2">
      <c r="B48" s="17"/>
      <c r="C48" s="18" t="str">
        <f t="shared" si="17"/>
        <v>土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>
        <f t="shared" si="19"/>
        <v>0</v>
      </c>
      <c r="U48" s="40"/>
    </row>
    <row r="49" spans="2:22" x14ac:dyDescent="0.2">
      <c r="B49" s="17"/>
      <c r="C49" s="18" t="str">
        <f t="shared" si="17"/>
        <v>土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>
        <f t="shared" si="19"/>
        <v>0</v>
      </c>
      <c r="U49" s="40"/>
    </row>
    <row r="50" spans="2:22" x14ac:dyDescent="0.2">
      <c r="B50" s="54" t="s">
        <v>156</v>
      </c>
      <c r="C50" s="18"/>
      <c r="D50" s="34"/>
      <c r="E50" s="34"/>
      <c r="F50" s="34"/>
      <c r="G50" s="34"/>
      <c r="H50" s="34"/>
      <c r="I50" s="34"/>
      <c r="J50" s="34"/>
      <c r="K50" s="34"/>
      <c r="L50" s="34"/>
      <c r="M50" s="50"/>
      <c r="N50" s="34"/>
      <c r="O50" s="34"/>
      <c r="P50" s="34"/>
      <c r="Q50" s="34"/>
      <c r="R50" s="34">
        <v>33320</v>
      </c>
      <c r="S50" s="34"/>
      <c r="T50" s="34">
        <f t="shared" si="19"/>
        <v>33320</v>
      </c>
      <c r="U50" s="40" t="s">
        <v>133</v>
      </c>
      <c r="V50" t="s">
        <v>155</v>
      </c>
    </row>
    <row r="51" spans="2:22" ht="13.8" thickBot="1" x14ac:dyDescent="0.25">
      <c r="B51" s="25"/>
      <c r="C51" s="26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42"/>
      <c r="V51" s="38"/>
    </row>
    <row r="52" spans="2:22" ht="13.8" thickTop="1" x14ac:dyDescent="0.2">
      <c r="B52" s="29" t="s">
        <v>21</v>
      </c>
      <c r="C52" s="22" t="s">
        <v>0</v>
      </c>
      <c r="D52" s="22">
        <f t="shared" ref="D52:T52" si="21">SUM(D41:D51)</f>
        <v>0</v>
      </c>
      <c r="E52" s="22">
        <f t="shared" si="21"/>
        <v>0</v>
      </c>
      <c r="F52" s="22">
        <f t="shared" si="21"/>
        <v>0</v>
      </c>
      <c r="G52" s="22">
        <f t="shared" si="21"/>
        <v>0</v>
      </c>
      <c r="H52" s="22">
        <f t="shared" si="21"/>
        <v>0</v>
      </c>
      <c r="I52" s="22">
        <f t="shared" si="21"/>
        <v>0</v>
      </c>
      <c r="J52" s="22">
        <f t="shared" si="21"/>
        <v>0</v>
      </c>
      <c r="K52" s="22">
        <f t="shared" si="21"/>
        <v>0</v>
      </c>
      <c r="L52" s="22">
        <f t="shared" si="21"/>
        <v>0</v>
      </c>
      <c r="M52" s="22">
        <f t="shared" si="21"/>
        <v>0</v>
      </c>
      <c r="N52" s="22">
        <f t="shared" si="21"/>
        <v>0</v>
      </c>
      <c r="O52" s="22">
        <f t="shared" si="21"/>
        <v>0</v>
      </c>
      <c r="P52" s="22">
        <f t="shared" si="21"/>
        <v>0</v>
      </c>
      <c r="Q52" s="22">
        <f t="shared" si="21"/>
        <v>0</v>
      </c>
      <c r="R52" s="22">
        <f t="shared" si="21"/>
        <v>33320</v>
      </c>
      <c r="S52" s="22">
        <f t="shared" si="21"/>
        <v>0</v>
      </c>
      <c r="T52" s="22">
        <f t="shared" si="21"/>
        <v>33320</v>
      </c>
      <c r="U52" s="43"/>
    </row>
  </sheetData>
  <phoneticPr fontId="1"/>
  <conditionalFormatting sqref="Z6:Z36">
    <cfRule type="cellIs" dxfId="4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B1:AC50"/>
  <sheetViews>
    <sheetView topLeftCell="B1" zoomScale="70" zoomScaleNormal="70" workbookViewId="0">
      <pane xSplit="2" ySplit="5" topLeftCell="D6" activePane="bottomRight" state="frozen"/>
      <selection activeCell="D1" sqref="D1:Q2"/>
      <selection pane="topRight" activeCell="D1" sqref="D1:Q2"/>
      <selection pane="bottomLeft" activeCell="D1" sqref="D1:Q2"/>
      <selection pane="bottomRight" activeCell="T38" sqref="T38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33"/>
      <c r="I1" s="61"/>
      <c r="K1" s="38"/>
      <c r="M1" s="38"/>
      <c r="N1" s="62"/>
    </row>
    <row r="2" spans="2:29" ht="39.6" x14ac:dyDescent="0.2">
      <c r="B2" s="15" t="s">
        <v>6</v>
      </c>
      <c r="C2" s="11"/>
      <c r="D2" s="16"/>
      <c r="E2" s="16"/>
      <c r="F2" s="64"/>
      <c r="G2" s="16"/>
      <c r="H2" s="16"/>
      <c r="I2" s="64"/>
      <c r="J2" s="16"/>
      <c r="K2" s="16"/>
      <c r="L2" s="16"/>
      <c r="M2" s="16"/>
      <c r="N2" s="64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13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 t="str">
        <f>IF(ISERROR(VLOOKUP(P2,件番!$A$10:$D$113,2,FALSE)),"",(VLOOKUP(P2,件番!$A$10:$D$113,2,FALSE)))</f>
        <v/>
      </c>
      <c r="Q3" s="13"/>
      <c r="R3" s="13" t="str">
        <f>IF(ISERROR(VLOOKUP(R2,件番!$A$10:$D$113,2,FALSE)),"",(VLOOKUP(R2,件番!$A$10:$D$113,2,FALSE)))</f>
        <v/>
      </c>
      <c r="S3" s="13" t="str">
        <f>IF(ISERROR(VLOOKUP(S2,件番!$A$3:$D$113,2,FALSE)),"",(VLOOKUP(S2,件番!$A$3:$D$113,2,FALSE)))</f>
        <v>2032B1008</v>
      </c>
      <c r="T3" s="13"/>
      <c r="U3" s="13"/>
    </row>
    <row r="4" spans="2:29" ht="27" customHeight="1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13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 t="str">
        <f>IF(ISERROR(VLOOKUP(P2,件番!$A$10:$D$113,2,FALSE)),"",(VLOOKUP(P2,件番!$A$10:$D$113,3,FALSE)))</f>
        <v/>
      </c>
      <c r="Q4" s="13"/>
      <c r="R4" s="13" t="str">
        <f>IF(ISERROR(VLOOKUP(R2,件番!$A$10:$D$113,2,FALSE)),"",(VLOOKUP(R2,件番!$A$10:$D$113,3,FALSE)))</f>
        <v/>
      </c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13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 t="str">
        <f>IF(ISERROR(VLOOKUP(P2,件番!$A$10:$D$113,2,FALSE)),"",(VLOOKUP(P2,件番!$A$10:$D$113,4,FALSE)))</f>
        <v/>
      </c>
      <c r="Q5" s="13"/>
      <c r="R5" s="13" t="str">
        <f>IF(ISERROR(VLOOKUP(R2,件番!$A$10:$D$113,2,FALSE)),"",(VLOOKUP(R2,件番!$A$10:$D$113,4,FALSE)))</f>
        <v/>
      </c>
      <c r="S5" s="13">
        <f>IF(ISERROR(VLOOKUP(S2,件番!$A$3:$D$113,2,FALSE)),"",(VLOOKUP(S2,件番!$A$3:$D$113,4,FALSE)))</f>
        <v>0</v>
      </c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46388</v>
      </c>
      <c r="C6" s="18" t="str">
        <f>TEXT(B6,"aaa")</f>
        <v>金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6" si="0">SUM(D6:S6)</f>
        <v>0</v>
      </c>
      <c r="U6" s="39" t="s">
        <v>105</v>
      </c>
      <c r="V6" s="2"/>
      <c r="W6" s="2"/>
      <c r="X6" s="2"/>
      <c r="Y6" s="20">
        <f t="shared" ref="Y6:Y36" si="1">(W6-V6-X6)*24</f>
        <v>0</v>
      </c>
      <c r="Z6" s="21">
        <f>Y6-T6</f>
        <v>0</v>
      </c>
      <c r="AA6" s="21"/>
      <c r="AB6" s="20"/>
    </row>
    <row r="7" spans="2:29" x14ac:dyDescent="0.2">
      <c r="B7" s="17">
        <v>46389</v>
      </c>
      <c r="C7" s="18" t="str">
        <f t="shared" ref="C7:C36" si="2">TEXT(B7,"aaa")</f>
        <v>土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41"/>
      <c r="V7" s="2"/>
      <c r="W7" s="2"/>
      <c r="X7" s="2"/>
      <c r="Y7" s="20">
        <f t="shared" si="1"/>
        <v>0</v>
      </c>
      <c r="Z7" s="21">
        <f t="shared" ref="Z7:Z36" si="3">Y7-T7</f>
        <v>0</v>
      </c>
      <c r="AA7" s="21"/>
      <c r="AB7" s="20"/>
    </row>
    <row r="8" spans="2:29" x14ac:dyDescent="0.2">
      <c r="B8" s="17">
        <v>46390</v>
      </c>
      <c r="C8" s="18" t="str">
        <f t="shared" si="2"/>
        <v>日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41"/>
      <c r="V8" s="2"/>
      <c r="W8" s="2"/>
      <c r="X8" s="2"/>
      <c r="Y8" s="20">
        <f t="shared" si="1"/>
        <v>0</v>
      </c>
      <c r="Z8" s="21">
        <f t="shared" si="3"/>
        <v>0</v>
      </c>
      <c r="AA8" s="21"/>
      <c r="AB8" s="20"/>
    </row>
    <row r="9" spans="2:29" x14ac:dyDescent="0.2">
      <c r="B9" s="17">
        <v>46391</v>
      </c>
      <c r="C9" s="18" t="str">
        <f t="shared" si="2"/>
        <v>月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41"/>
      <c r="V9" s="2">
        <v>0.375</v>
      </c>
      <c r="W9" s="2">
        <v>0.72916666666666663</v>
      </c>
      <c r="X9" s="2">
        <v>5.2083333333333336E-2</v>
      </c>
      <c r="Y9" s="20">
        <f t="shared" si="1"/>
        <v>7.25</v>
      </c>
      <c r="Z9" s="21">
        <f t="shared" si="3"/>
        <v>7.25</v>
      </c>
      <c r="AA9" s="21">
        <f t="shared" ref="AA9:AA13" si="4">AC9-AB9</f>
        <v>0</v>
      </c>
      <c r="AB9" s="20">
        <v>7.25</v>
      </c>
      <c r="AC9">
        <f t="shared" ref="AC9:AC13" si="5">ABS(Y9)</f>
        <v>7.25</v>
      </c>
    </row>
    <row r="10" spans="2:29" x14ac:dyDescent="0.2">
      <c r="B10" s="17">
        <v>46392</v>
      </c>
      <c r="C10" s="18" t="str">
        <f t="shared" si="2"/>
        <v>火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41"/>
      <c r="V10" s="2">
        <v>0.375</v>
      </c>
      <c r="W10" s="2">
        <v>0.72916666666666663</v>
      </c>
      <c r="X10" s="2">
        <v>5.2083333333333336E-2</v>
      </c>
      <c r="Y10" s="20">
        <f t="shared" si="1"/>
        <v>7.25</v>
      </c>
      <c r="Z10" s="21">
        <f t="shared" si="3"/>
        <v>7.25</v>
      </c>
      <c r="AA10" s="21">
        <f t="shared" si="4"/>
        <v>0</v>
      </c>
      <c r="AB10" s="20">
        <v>7.25</v>
      </c>
      <c r="AC10">
        <f t="shared" si="5"/>
        <v>7.25</v>
      </c>
    </row>
    <row r="11" spans="2:29" x14ac:dyDescent="0.2">
      <c r="B11" s="17">
        <v>46393</v>
      </c>
      <c r="C11" s="18" t="str">
        <f t="shared" si="2"/>
        <v>水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41"/>
      <c r="V11" s="2">
        <v>0.375</v>
      </c>
      <c r="W11" s="2">
        <v>0.72916666666666663</v>
      </c>
      <c r="X11" s="2">
        <v>5.2083333333333336E-2</v>
      </c>
      <c r="Y11" s="20">
        <f t="shared" si="1"/>
        <v>7.25</v>
      </c>
      <c r="Z11" s="21">
        <f t="shared" si="3"/>
        <v>7.25</v>
      </c>
      <c r="AA11" s="21">
        <f t="shared" si="4"/>
        <v>0</v>
      </c>
      <c r="AB11" s="20">
        <v>7.25</v>
      </c>
      <c r="AC11">
        <f t="shared" si="5"/>
        <v>7.25</v>
      </c>
    </row>
    <row r="12" spans="2:29" x14ac:dyDescent="0.2">
      <c r="B12" s="17">
        <v>46394</v>
      </c>
      <c r="C12" s="18" t="str">
        <f t="shared" si="2"/>
        <v>木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39"/>
      <c r="V12" s="2">
        <v>0.375</v>
      </c>
      <c r="W12" s="2">
        <v>0.72916666666666663</v>
      </c>
      <c r="X12" s="2">
        <v>5.2083333333333336E-2</v>
      </c>
      <c r="Y12" s="20">
        <f t="shared" si="1"/>
        <v>7.25</v>
      </c>
      <c r="Z12" s="21">
        <f t="shared" si="3"/>
        <v>7.25</v>
      </c>
      <c r="AA12" s="21">
        <f t="shared" si="4"/>
        <v>0</v>
      </c>
      <c r="AB12" s="20">
        <v>7.25</v>
      </c>
      <c r="AC12">
        <f t="shared" si="5"/>
        <v>7.25</v>
      </c>
    </row>
    <row r="13" spans="2:29" x14ac:dyDescent="0.2">
      <c r="B13" s="17">
        <v>46395</v>
      </c>
      <c r="C13" s="18" t="str">
        <f t="shared" si="2"/>
        <v>金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39"/>
      <c r="V13" s="2">
        <v>0.375</v>
      </c>
      <c r="W13" s="2">
        <v>0.72916666666666663</v>
      </c>
      <c r="X13" s="2">
        <v>5.2083333333333336E-2</v>
      </c>
      <c r="Y13" s="20">
        <f t="shared" si="1"/>
        <v>7.25</v>
      </c>
      <c r="Z13" s="21">
        <f t="shared" si="3"/>
        <v>7.25</v>
      </c>
      <c r="AA13" s="21">
        <f t="shared" si="4"/>
        <v>0</v>
      </c>
      <c r="AB13" s="20">
        <v>7.25</v>
      </c>
      <c r="AC13">
        <f t="shared" si="5"/>
        <v>7.25</v>
      </c>
    </row>
    <row r="14" spans="2:29" x14ac:dyDescent="0.2">
      <c r="B14" s="17">
        <v>46396</v>
      </c>
      <c r="C14" s="18" t="str">
        <f t="shared" si="2"/>
        <v>土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44"/>
      <c r="V14" s="2"/>
      <c r="W14" s="2"/>
      <c r="X14" s="2"/>
      <c r="Y14" s="20">
        <f t="shared" si="1"/>
        <v>0</v>
      </c>
      <c r="Z14" s="21">
        <f t="shared" si="3"/>
        <v>0</v>
      </c>
      <c r="AA14" s="21"/>
      <c r="AB14" s="20"/>
    </row>
    <row r="15" spans="2:29" x14ac:dyDescent="0.2">
      <c r="B15" s="17">
        <v>46397</v>
      </c>
      <c r="C15" s="18" t="str">
        <f t="shared" si="2"/>
        <v>日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39"/>
      <c r="V15" s="2"/>
      <c r="W15" s="2"/>
      <c r="X15" s="2"/>
      <c r="Y15" s="20">
        <f t="shared" si="1"/>
        <v>0</v>
      </c>
      <c r="Z15" s="21">
        <f t="shared" si="3"/>
        <v>0</v>
      </c>
      <c r="AA15" s="21"/>
      <c r="AB15" s="20"/>
    </row>
    <row r="16" spans="2:29" x14ac:dyDescent="0.2">
      <c r="B16" s="17">
        <v>46398</v>
      </c>
      <c r="C16" s="18" t="str">
        <f t="shared" si="2"/>
        <v>月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>SUM(D16:S16)</f>
        <v>0</v>
      </c>
      <c r="U16" s="39" t="s">
        <v>29</v>
      </c>
      <c r="V16" s="2"/>
      <c r="W16" s="2"/>
      <c r="X16" s="2"/>
      <c r="Y16" s="20">
        <f t="shared" si="1"/>
        <v>0</v>
      </c>
      <c r="Z16" s="21">
        <f t="shared" si="3"/>
        <v>0</v>
      </c>
      <c r="AA16" s="21"/>
      <c r="AB16" s="20"/>
    </row>
    <row r="17" spans="2:29" x14ac:dyDescent="0.2">
      <c r="B17" s="17">
        <v>46399</v>
      </c>
      <c r="C17" s="18" t="str">
        <f t="shared" si="2"/>
        <v>火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39"/>
      <c r="V17" s="2">
        <v>0.375</v>
      </c>
      <c r="W17" s="2">
        <v>0.72916666666666663</v>
      </c>
      <c r="X17" s="2">
        <v>5.2083333333333336E-2</v>
      </c>
      <c r="Y17" s="20">
        <f t="shared" si="1"/>
        <v>7.25</v>
      </c>
      <c r="Z17" s="21">
        <f t="shared" si="3"/>
        <v>7.25</v>
      </c>
      <c r="AA17" s="21">
        <f t="shared" ref="AA17:AA20" si="6">AC17-AB17</f>
        <v>0</v>
      </c>
      <c r="AB17" s="20">
        <v>7.25</v>
      </c>
      <c r="AC17">
        <f t="shared" ref="AC17:AC20" si="7">ABS(Y17)</f>
        <v>7.25</v>
      </c>
    </row>
    <row r="18" spans="2:29" x14ac:dyDescent="0.2">
      <c r="B18" s="17">
        <v>46400</v>
      </c>
      <c r="C18" s="18" t="str">
        <f t="shared" si="2"/>
        <v>水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19"/>
      <c r="V18" s="2">
        <v>0.375</v>
      </c>
      <c r="W18" s="2">
        <v>0.72916666666666663</v>
      </c>
      <c r="X18" s="2">
        <v>5.2083333333333336E-2</v>
      </c>
      <c r="Y18" s="20">
        <f t="shared" si="1"/>
        <v>7.25</v>
      </c>
      <c r="Z18" s="21">
        <f t="shared" si="3"/>
        <v>7.25</v>
      </c>
      <c r="AA18" s="21">
        <f t="shared" si="6"/>
        <v>0</v>
      </c>
      <c r="AB18" s="20">
        <v>7.25</v>
      </c>
      <c r="AC18">
        <f t="shared" si="7"/>
        <v>7.25</v>
      </c>
    </row>
    <row r="19" spans="2:29" x14ac:dyDescent="0.2">
      <c r="B19" s="17">
        <v>46401</v>
      </c>
      <c r="C19" s="18" t="str">
        <f t="shared" si="2"/>
        <v>木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19"/>
      <c r="V19" s="2">
        <v>0.375</v>
      </c>
      <c r="W19" s="2">
        <v>0.72916666666666663</v>
      </c>
      <c r="X19" s="2">
        <v>5.2083333333333336E-2</v>
      </c>
      <c r="Y19" s="20">
        <f t="shared" si="1"/>
        <v>7.25</v>
      </c>
      <c r="Z19" s="21">
        <f t="shared" si="3"/>
        <v>7.25</v>
      </c>
      <c r="AA19" s="21">
        <f t="shared" si="6"/>
        <v>0</v>
      </c>
      <c r="AB19" s="20">
        <v>7.25</v>
      </c>
      <c r="AC19">
        <f t="shared" si="7"/>
        <v>7.25</v>
      </c>
    </row>
    <row r="20" spans="2:29" x14ac:dyDescent="0.2">
      <c r="B20" s="17">
        <v>46402</v>
      </c>
      <c r="C20" s="18" t="str">
        <f t="shared" si="2"/>
        <v>金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19"/>
      <c r="V20" s="2">
        <v>0.375</v>
      </c>
      <c r="W20" s="2">
        <v>0.72916666666666663</v>
      </c>
      <c r="X20" s="2">
        <v>5.2083333333333336E-2</v>
      </c>
      <c r="Y20" s="20">
        <f t="shared" si="1"/>
        <v>7.25</v>
      </c>
      <c r="Z20" s="21">
        <f t="shared" si="3"/>
        <v>7.25</v>
      </c>
      <c r="AA20" s="21">
        <f t="shared" si="6"/>
        <v>0</v>
      </c>
      <c r="AB20" s="20">
        <v>7.25</v>
      </c>
      <c r="AC20">
        <f t="shared" si="7"/>
        <v>7.25</v>
      </c>
    </row>
    <row r="21" spans="2:29" x14ac:dyDescent="0.2">
      <c r="B21" s="17">
        <v>46403</v>
      </c>
      <c r="C21" s="18" t="str">
        <f t="shared" si="2"/>
        <v>土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19"/>
      <c r="V21" s="2"/>
      <c r="W21" s="2"/>
      <c r="X21" s="2"/>
      <c r="Y21" s="20">
        <f t="shared" si="1"/>
        <v>0</v>
      </c>
      <c r="Z21" s="21">
        <f t="shared" si="3"/>
        <v>0</v>
      </c>
      <c r="AA21" s="21"/>
      <c r="AB21" s="20"/>
    </row>
    <row r="22" spans="2:29" x14ac:dyDescent="0.2">
      <c r="B22" s="17">
        <v>46404</v>
      </c>
      <c r="C22" s="18" t="str">
        <f t="shared" si="2"/>
        <v>日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19"/>
      <c r="V22" s="2"/>
      <c r="W22" s="2"/>
      <c r="X22" s="2"/>
      <c r="Y22" s="20">
        <f t="shared" si="1"/>
        <v>0</v>
      </c>
      <c r="Z22" s="21">
        <f t="shared" si="3"/>
        <v>0</v>
      </c>
      <c r="AA22" s="21"/>
      <c r="AB22" s="20"/>
    </row>
    <row r="23" spans="2:29" x14ac:dyDescent="0.2">
      <c r="B23" s="17">
        <v>46405</v>
      </c>
      <c r="C23" s="18" t="str">
        <f t="shared" si="2"/>
        <v>月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19"/>
      <c r="V23" s="2">
        <v>0.375</v>
      </c>
      <c r="W23" s="2">
        <v>0.72916666666666663</v>
      </c>
      <c r="X23" s="2">
        <v>5.2083333333333336E-2</v>
      </c>
      <c r="Y23" s="20">
        <f t="shared" si="1"/>
        <v>7.25</v>
      </c>
      <c r="Z23" s="21">
        <f t="shared" si="3"/>
        <v>7.25</v>
      </c>
      <c r="AA23" s="21">
        <f t="shared" ref="AA23:AA27" si="8">AC23-AB23</f>
        <v>0</v>
      </c>
      <c r="AB23" s="20">
        <v>7.25</v>
      </c>
      <c r="AC23">
        <f t="shared" ref="AC23:AC27" si="9">ABS(Y23)</f>
        <v>7.25</v>
      </c>
    </row>
    <row r="24" spans="2:29" x14ac:dyDescent="0.2">
      <c r="B24" s="17">
        <v>46406</v>
      </c>
      <c r="C24" s="18" t="str">
        <f t="shared" si="2"/>
        <v>火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19"/>
      <c r="V24" s="2">
        <v>0.375</v>
      </c>
      <c r="W24" s="2">
        <v>0.72916666666666663</v>
      </c>
      <c r="X24" s="2">
        <v>5.2083333333333336E-2</v>
      </c>
      <c r="Y24" s="20">
        <f t="shared" si="1"/>
        <v>7.25</v>
      </c>
      <c r="Z24" s="21">
        <f t="shared" si="3"/>
        <v>7.25</v>
      </c>
      <c r="AA24" s="21">
        <f t="shared" si="8"/>
        <v>0</v>
      </c>
      <c r="AB24" s="20">
        <v>7.25</v>
      </c>
      <c r="AC24">
        <f t="shared" si="9"/>
        <v>7.25</v>
      </c>
    </row>
    <row r="25" spans="2:29" x14ac:dyDescent="0.2">
      <c r="B25" s="17">
        <v>46407</v>
      </c>
      <c r="C25" s="18" t="str">
        <f t="shared" si="2"/>
        <v>水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19"/>
      <c r="V25" s="2">
        <v>0.375</v>
      </c>
      <c r="W25" s="2">
        <v>0.72916666666666663</v>
      </c>
      <c r="X25" s="2">
        <v>5.2083333333333336E-2</v>
      </c>
      <c r="Y25" s="20">
        <f t="shared" si="1"/>
        <v>7.25</v>
      </c>
      <c r="Z25" s="21">
        <f t="shared" si="3"/>
        <v>7.25</v>
      </c>
      <c r="AA25" s="21">
        <f t="shared" si="8"/>
        <v>0</v>
      </c>
      <c r="AB25" s="20">
        <v>7.25</v>
      </c>
      <c r="AC25">
        <f t="shared" si="9"/>
        <v>7.25</v>
      </c>
    </row>
    <row r="26" spans="2:29" x14ac:dyDescent="0.2">
      <c r="B26" s="17">
        <v>46408</v>
      </c>
      <c r="C26" s="18" t="str">
        <f t="shared" si="2"/>
        <v>木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19"/>
      <c r="V26" s="2">
        <v>0.375</v>
      </c>
      <c r="W26" s="2">
        <v>0.72916666666666663</v>
      </c>
      <c r="X26" s="2">
        <v>5.2083333333333336E-2</v>
      </c>
      <c r="Y26" s="20">
        <f t="shared" si="1"/>
        <v>7.25</v>
      </c>
      <c r="Z26" s="21">
        <f t="shared" si="3"/>
        <v>7.25</v>
      </c>
      <c r="AA26" s="21">
        <f t="shared" si="8"/>
        <v>0</v>
      </c>
      <c r="AB26" s="20">
        <v>7.25</v>
      </c>
      <c r="AC26">
        <f t="shared" si="9"/>
        <v>7.25</v>
      </c>
    </row>
    <row r="27" spans="2:29" x14ac:dyDescent="0.2">
      <c r="B27" s="17">
        <v>46409</v>
      </c>
      <c r="C27" s="18" t="str">
        <f t="shared" si="2"/>
        <v>金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19"/>
      <c r="V27" s="2">
        <v>0.375</v>
      </c>
      <c r="W27" s="2">
        <v>0.72916666666666663</v>
      </c>
      <c r="X27" s="2">
        <v>5.2083333333333336E-2</v>
      </c>
      <c r="Y27" s="20">
        <f t="shared" si="1"/>
        <v>7.25</v>
      </c>
      <c r="Z27" s="21">
        <f t="shared" si="3"/>
        <v>7.25</v>
      </c>
      <c r="AA27" s="21">
        <f t="shared" si="8"/>
        <v>0</v>
      </c>
      <c r="AB27" s="20">
        <v>7.25</v>
      </c>
      <c r="AC27">
        <f t="shared" si="9"/>
        <v>7.25</v>
      </c>
    </row>
    <row r="28" spans="2:29" x14ac:dyDescent="0.2">
      <c r="B28" s="17">
        <v>46410</v>
      </c>
      <c r="C28" s="18" t="str">
        <f t="shared" si="2"/>
        <v>土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19"/>
      <c r="V28" s="2"/>
      <c r="W28" s="2"/>
      <c r="X28" s="2"/>
      <c r="Y28" s="20">
        <f t="shared" si="1"/>
        <v>0</v>
      </c>
      <c r="Z28" s="21">
        <f t="shared" si="3"/>
        <v>0</v>
      </c>
      <c r="AA28" s="21"/>
      <c r="AB28" s="20"/>
    </row>
    <row r="29" spans="2:29" x14ac:dyDescent="0.2">
      <c r="B29" s="17">
        <v>46411</v>
      </c>
      <c r="C29" s="18" t="str">
        <f t="shared" si="2"/>
        <v>日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19"/>
      <c r="V29" s="2"/>
      <c r="W29" s="2"/>
      <c r="X29" s="2"/>
      <c r="Y29" s="20">
        <f t="shared" si="1"/>
        <v>0</v>
      </c>
      <c r="Z29" s="21">
        <f t="shared" si="3"/>
        <v>0</v>
      </c>
      <c r="AA29" s="21"/>
      <c r="AB29" s="20"/>
    </row>
    <row r="30" spans="2:29" x14ac:dyDescent="0.2">
      <c r="B30" s="17">
        <v>46412</v>
      </c>
      <c r="C30" s="18" t="str">
        <f t="shared" si="2"/>
        <v>月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5"/>
      <c r="V30" s="2">
        <v>0.375</v>
      </c>
      <c r="W30" s="2">
        <v>0.72916666666666663</v>
      </c>
      <c r="X30" s="2">
        <v>5.2083333333333336E-2</v>
      </c>
      <c r="Y30" s="20">
        <f t="shared" si="1"/>
        <v>7.25</v>
      </c>
      <c r="Z30" s="21">
        <f t="shared" si="3"/>
        <v>7.25</v>
      </c>
      <c r="AA30" s="21">
        <f t="shared" ref="AA30:AA34" si="10">AC30-AB30</f>
        <v>0</v>
      </c>
      <c r="AB30" s="20">
        <v>7.25</v>
      </c>
      <c r="AC30">
        <f t="shared" ref="AC30:AC34" si="11">ABS(Y30)</f>
        <v>7.25</v>
      </c>
    </row>
    <row r="31" spans="2:29" x14ac:dyDescent="0.2">
      <c r="B31" s="17">
        <v>46413</v>
      </c>
      <c r="C31" s="18" t="str">
        <f t="shared" si="2"/>
        <v>火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19"/>
      <c r="V31" s="2">
        <v>0.375</v>
      </c>
      <c r="W31" s="2">
        <v>0.72916666666666663</v>
      </c>
      <c r="X31" s="2">
        <v>5.2083333333333336E-2</v>
      </c>
      <c r="Y31" s="20">
        <f t="shared" si="1"/>
        <v>7.25</v>
      </c>
      <c r="Z31" s="21">
        <f t="shared" si="3"/>
        <v>7.25</v>
      </c>
      <c r="AA31" s="21">
        <f t="shared" si="10"/>
        <v>0</v>
      </c>
      <c r="AB31" s="20">
        <v>7.25</v>
      </c>
      <c r="AC31">
        <f t="shared" si="11"/>
        <v>7.25</v>
      </c>
    </row>
    <row r="32" spans="2:29" x14ac:dyDescent="0.2">
      <c r="B32" s="17">
        <v>46414</v>
      </c>
      <c r="C32" s="18" t="str">
        <f t="shared" si="2"/>
        <v>水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39"/>
      <c r="V32" s="2">
        <v>0.375</v>
      </c>
      <c r="W32" s="2">
        <v>0.72916666666666663</v>
      </c>
      <c r="X32" s="2">
        <v>5.2083333333333336E-2</v>
      </c>
      <c r="Y32" s="20">
        <f t="shared" si="1"/>
        <v>7.25</v>
      </c>
      <c r="Z32" s="21">
        <f t="shared" si="3"/>
        <v>7.25</v>
      </c>
      <c r="AA32" s="21">
        <f t="shared" si="10"/>
        <v>0</v>
      </c>
      <c r="AB32" s="20">
        <v>7.25</v>
      </c>
      <c r="AC32">
        <f t="shared" si="11"/>
        <v>7.25</v>
      </c>
    </row>
    <row r="33" spans="2:29" x14ac:dyDescent="0.2">
      <c r="B33" s="17">
        <v>46415</v>
      </c>
      <c r="C33" s="18" t="str">
        <f t="shared" si="2"/>
        <v>木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19"/>
      <c r="V33" s="2">
        <v>0.375</v>
      </c>
      <c r="W33" s="2">
        <v>0.72916666666666663</v>
      </c>
      <c r="X33" s="2">
        <v>5.2083333333333336E-2</v>
      </c>
      <c r="Y33" s="20">
        <f t="shared" si="1"/>
        <v>7.25</v>
      </c>
      <c r="Z33" s="21">
        <f t="shared" si="3"/>
        <v>7.25</v>
      </c>
      <c r="AA33" s="21">
        <f t="shared" si="10"/>
        <v>0</v>
      </c>
      <c r="AB33" s="20">
        <v>7.25</v>
      </c>
      <c r="AC33">
        <f t="shared" si="11"/>
        <v>7.25</v>
      </c>
    </row>
    <row r="34" spans="2:29" x14ac:dyDescent="0.2">
      <c r="B34" s="17">
        <v>46416</v>
      </c>
      <c r="C34" s="18" t="str">
        <f t="shared" si="2"/>
        <v>金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44"/>
      <c r="V34" s="2">
        <v>0.375</v>
      </c>
      <c r="W34" s="2">
        <v>0.72916666666666663</v>
      </c>
      <c r="X34" s="2">
        <v>5.2083333333333336E-2</v>
      </c>
      <c r="Y34" s="20">
        <f t="shared" si="1"/>
        <v>7.25</v>
      </c>
      <c r="Z34" s="21">
        <f t="shared" si="3"/>
        <v>7.25</v>
      </c>
      <c r="AA34" s="21">
        <f t="shared" si="10"/>
        <v>0</v>
      </c>
      <c r="AB34" s="20">
        <v>7.25</v>
      </c>
      <c r="AC34">
        <f t="shared" si="11"/>
        <v>7.25</v>
      </c>
    </row>
    <row r="35" spans="2:29" x14ac:dyDescent="0.2">
      <c r="B35" s="17">
        <v>46417</v>
      </c>
      <c r="C35" s="18" t="str">
        <f t="shared" si="2"/>
        <v>土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44"/>
      <c r="V35" s="2"/>
      <c r="W35" s="2"/>
      <c r="X35" s="2"/>
      <c r="Y35" s="20">
        <f t="shared" si="1"/>
        <v>0</v>
      </c>
      <c r="Z35" s="21">
        <f t="shared" si="3"/>
        <v>0</v>
      </c>
      <c r="AA35" s="21"/>
      <c r="AB35" s="20"/>
    </row>
    <row r="36" spans="2:29" ht="13.8" thickBot="1" x14ac:dyDescent="0.25">
      <c r="B36" s="25">
        <v>46418</v>
      </c>
      <c r="C36" s="26" t="str">
        <f t="shared" si="2"/>
        <v>日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>
        <f t="shared" si="0"/>
        <v>0</v>
      </c>
      <c r="U36" s="27"/>
      <c r="V36" s="2"/>
      <c r="W36" s="2"/>
      <c r="X36" s="2"/>
      <c r="Y36" s="20">
        <f t="shared" si="1"/>
        <v>0</v>
      </c>
      <c r="Z36" s="21">
        <f t="shared" si="3"/>
        <v>0</v>
      </c>
      <c r="AA36" s="21"/>
      <c r="AB36" s="20"/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T37" si="12">SUM(E6:E36)</f>
        <v>0</v>
      </c>
      <c r="F37" s="22">
        <f t="shared" si="12"/>
        <v>0</v>
      </c>
      <c r="G37" s="22">
        <f t="shared" si="12"/>
        <v>0</v>
      </c>
      <c r="H37" s="22">
        <f t="shared" si="12"/>
        <v>0</v>
      </c>
      <c r="I37" s="22">
        <f t="shared" si="12"/>
        <v>0</v>
      </c>
      <c r="J37" s="22">
        <f t="shared" si="12"/>
        <v>0</v>
      </c>
      <c r="K37" s="22">
        <f t="shared" si="12"/>
        <v>0</v>
      </c>
      <c r="L37" s="22">
        <f t="shared" si="12"/>
        <v>0</v>
      </c>
      <c r="M37" s="22">
        <f t="shared" si="12"/>
        <v>0</v>
      </c>
      <c r="N37" s="22">
        <f t="shared" si="12"/>
        <v>0</v>
      </c>
      <c r="O37" s="22">
        <f t="shared" si="12"/>
        <v>0</v>
      </c>
      <c r="P37" s="22">
        <f t="shared" si="12"/>
        <v>0</v>
      </c>
      <c r="Q37" s="22">
        <f t="shared" si="12"/>
        <v>0</v>
      </c>
      <c r="R37" s="22">
        <f t="shared" si="12"/>
        <v>0</v>
      </c>
      <c r="S37" s="22">
        <f t="shared" si="12"/>
        <v>0</v>
      </c>
      <c r="T37" s="23">
        <f t="shared" si="12"/>
        <v>0</v>
      </c>
      <c r="U37" s="24"/>
      <c r="V37" s="2"/>
      <c r="Y37" s="21"/>
      <c r="AA37" s="21">
        <f>SUM(AA6:AA36)</f>
        <v>0</v>
      </c>
      <c r="AB37" s="21">
        <f>SUM(AB6:AB36)</f>
        <v>137.75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17"/>
      <c r="C41" s="18" t="str">
        <f t="shared" ref="C41" si="13">TEXT(B41,"aaa")</f>
        <v>土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>
        <f t="shared" ref="T41" si="14">SUM(D41:S41)</f>
        <v>0</v>
      </c>
      <c r="U41" s="40"/>
    </row>
    <row r="42" spans="2:29" x14ac:dyDescent="0.2">
      <c r="B42" s="17"/>
      <c r="C42" s="18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40"/>
    </row>
    <row r="43" spans="2:29" x14ac:dyDescent="0.2">
      <c r="B43" s="17"/>
      <c r="C43" s="18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40"/>
    </row>
    <row r="44" spans="2:29" x14ac:dyDescent="0.2">
      <c r="B44" s="17"/>
      <c r="C44" s="18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40"/>
    </row>
    <row r="45" spans="2:29" x14ac:dyDescent="0.2">
      <c r="B45" s="17"/>
      <c r="C45" s="18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40"/>
    </row>
    <row r="46" spans="2:29" x14ac:dyDescent="0.2">
      <c r="B46" s="54"/>
      <c r="C46" s="18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40"/>
    </row>
    <row r="47" spans="2:29" x14ac:dyDescent="0.2">
      <c r="B47" s="17"/>
      <c r="C47" s="18"/>
      <c r="D47" s="34"/>
      <c r="E47" s="34"/>
      <c r="F47" s="34"/>
      <c r="G47" s="34"/>
      <c r="H47" s="34"/>
      <c r="I47" s="34"/>
      <c r="J47" s="34"/>
      <c r="K47" s="34"/>
      <c r="L47" s="34"/>
      <c r="M47" s="50"/>
      <c r="N47" s="34"/>
      <c r="O47" s="34"/>
      <c r="P47" s="34"/>
      <c r="Q47" s="34"/>
      <c r="R47" s="34"/>
      <c r="S47" s="34"/>
      <c r="T47" s="34"/>
      <c r="U47" s="40"/>
    </row>
    <row r="48" spans="2:29" x14ac:dyDescent="0.2">
      <c r="B48" s="17"/>
      <c r="C48" s="18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40"/>
    </row>
    <row r="49" spans="2:21" ht="13.8" thickBot="1" x14ac:dyDescent="0.25">
      <c r="B49" s="65"/>
      <c r="C49" s="2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42"/>
    </row>
    <row r="50" spans="2:21" ht="13.8" thickTop="1" x14ac:dyDescent="0.2">
      <c r="B50" s="29" t="s">
        <v>21</v>
      </c>
      <c r="C50" s="22" t="s">
        <v>0</v>
      </c>
      <c r="D50" s="22">
        <f t="shared" ref="D50:O50" si="15">SUM(D41:D49)</f>
        <v>0</v>
      </c>
      <c r="E50" s="22">
        <f t="shared" si="15"/>
        <v>0</v>
      </c>
      <c r="F50" s="22">
        <f t="shared" si="15"/>
        <v>0</v>
      </c>
      <c r="G50" s="22">
        <f t="shared" si="15"/>
        <v>0</v>
      </c>
      <c r="H50" s="22">
        <f t="shared" si="15"/>
        <v>0</v>
      </c>
      <c r="I50" s="22">
        <f t="shared" si="15"/>
        <v>0</v>
      </c>
      <c r="J50" s="22">
        <f t="shared" si="15"/>
        <v>0</v>
      </c>
      <c r="K50" s="22">
        <f t="shared" si="15"/>
        <v>0</v>
      </c>
      <c r="L50" s="22">
        <f t="shared" si="15"/>
        <v>0</v>
      </c>
      <c r="M50" s="22">
        <f t="shared" si="15"/>
        <v>0</v>
      </c>
      <c r="N50" s="22">
        <f t="shared" si="15"/>
        <v>0</v>
      </c>
      <c r="O50" s="22">
        <f t="shared" si="15"/>
        <v>0</v>
      </c>
      <c r="P50" s="22"/>
      <c r="Q50" s="22"/>
      <c r="R50" s="22">
        <f>SUM(R41:R49)</f>
        <v>0</v>
      </c>
      <c r="S50" s="22">
        <f>SUM(S41:S49)</f>
        <v>0</v>
      </c>
      <c r="T50" s="22">
        <f>SUM(T41:T49)</f>
        <v>0</v>
      </c>
      <c r="U50" s="43"/>
    </row>
  </sheetData>
  <phoneticPr fontId="1"/>
  <conditionalFormatting sqref="Z6:Z36">
    <cfRule type="cellIs" dxfId="3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1:AC63"/>
  <sheetViews>
    <sheetView topLeftCell="B1" zoomScale="70" zoomScaleNormal="70" workbookViewId="0">
      <pane xSplit="2" ySplit="5" topLeftCell="D6" activePane="bottomRight" state="frozen"/>
      <selection activeCell="D1" sqref="D1:Q2"/>
      <selection pane="topRight" activeCell="D1" sqref="D1:Q2"/>
      <selection pane="bottomLeft" activeCell="D1" sqref="D1:Q2"/>
      <selection pane="bottomRight" activeCell="T38" sqref="T38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33"/>
      <c r="I1" s="61"/>
      <c r="K1" s="38"/>
      <c r="M1" s="38"/>
      <c r="N1" s="62"/>
    </row>
    <row r="2" spans="2:29" ht="39.6" x14ac:dyDescent="0.2">
      <c r="B2" s="15" t="s">
        <v>6</v>
      </c>
      <c r="C2" s="11"/>
      <c r="D2" s="16"/>
      <c r="E2" s="16"/>
      <c r="F2" s="64"/>
      <c r="G2" s="16"/>
      <c r="H2" s="16"/>
      <c r="I2" s="64"/>
      <c r="J2" s="16"/>
      <c r="K2" s="16"/>
      <c r="L2" s="16"/>
      <c r="M2" s="16"/>
      <c r="N2" s="64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13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 t="str">
        <f>IF(ISERROR(VLOOKUP(P2,件番!$A$10:$D$113,2,FALSE)),"",(VLOOKUP(P2,件番!$A$10:$D$113,2,FALSE)))</f>
        <v/>
      </c>
      <c r="Q3" s="13" t="str">
        <f>IF(ISERROR(VLOOKUP(Q2,件番!$A$10:$D$113,2,FALSE)),"",(VLOOKUP(Q2,件番!$A$10:$D$113,2,FALSE)))</f>
        <v/>
      </c>
      <c r="R3" s="13" t="str">
        <f>IF(ISERROR(VLOOKUP(R2,件番!$A$10:$D$113,2,FALSE)),"",(VLOOKUP(R2,件番!$A$10:$D$113,2,FALSE)))</f>
        <v/>
      </c>
      <c r="S3" s="13" t="str">
        <f>IF(ISERROR(VLOOKUP(S2,件番!$A$3:$D$113,2,FALSE)),"",(VLOOKUP(S2,件番!$A$3:$D$113,2,FALSE)))</f>
        <v>2032B1008</v>
      </c>
      <c r="T3" s="13"/>
      <c r="U3" s="13"/>
    </row>
    <row r="4" spans="2:29" ht="27" customHeight="1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13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 t="str">
        <f>IF(ISERROR(VLOOKUP(P2,件番!$A$10:$D$113,2,FALSE)),"",(VLOOKUP(P2,件番!$A$10:$D$113,3,FALSE)))</f>
        <v/>
      </c>
      <c r="Q4" s="13" t="str">
        <f>IF(ISERROR(VLOOKUP(Q2,件番!$A$10:$D$113,2,FALSE)),"",(VLOOKUP(Q2,件番!$A$10:$D$113,3,FALSE)))</f>
        <v/>
      </c>
      <c r="R4" s="13" t="str">
        <f>IF(ISERROR(VLOOKUP(R2,件番!$A$10:$D$113,2,FALSE)),"",(VLOOKUP(R2,件番!$A$10:$D$113,3,FALSE)))</f>
        <v/>
      </c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13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 t="str">
        <f>IF(ISERROR(VLOOKUP(P2,件番!$A$10:$D$113,2,FALSE)),"",(VLOOKUP(P2,件番!$A$10:$D$113,4,FALSE)))</f>
        <v/>
      </c>
      <c r="Q5" s="13" t="str">
        <f>IF(ISERROR(VLOOKUP(Q2,件番!$A$10:$D$113,2,FALSE)),"",(VLOOKUP(Q2,件番!$A$10:$D$113,4,FALSE)))</f>
        <v/>
      </c>
      <c r="R5" s="13" t="str">
        <f>IF(ISERROR(VLOOKUP(R2,件番!$A$10:$D$113,2,FALSE)),"",(VLOOKUP(R2,件番!$A$10:$D$113,4,FALSE)))</f>
        <v/>
      </c>
      <c r="S5" s="13">
        <f>IF(ISERROR(VLOOKUP(S2,件番!$A$3:$D$113,2,FALSE)),"",(VLOOKUP(S2,件番!$A$3:$D$113,4,FALSE)))</f>
        <v>0</v>
      </c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46419</v>
      </c>
      <c r="C6" s="18" t="str">
        <f>TEXT(B6,"aaa")</f>
        <v>月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6" si="0">SUM(D6:S6)</f>
        <v>0</v>
      </c>
      <c r="U6" s="39"/>
      <c r="V6" s="2">
        <v>0.375</v>
      </c>
      <c r="W6" s="2">
        <v>0.72916666666666663</v>
      </c>
      <c r="X6" s="2">
        <v>5.2083333333333336E-2</v>
      </c>
      <c r="Y6" s="20">
        <f t="shared" ref="Y6:Y10" si="1">(W6-V6-X6)*24</f>
        <v>7.25</v>
      </c>
      <c r="Z6" s="21">
        <f t="shared" ref="Z6:Z10" si="2">Y6-T6</f>
        <v>7.25</v>
      </c>
      <c r="AA6" s="21">
        <f t="shared" ref="AA6:AA10" si="3">AC6-AB6</f>
        <v>0</v>
      </c>
      <c r="AB6" s="20">
        <v>7.25</v>
      </c>
      <c r="AC6">
        <f t="shared" ref="AC6:AC10" si="4">ABS(Y6)</f>
        <v>7.25</v>
      </c>
    </row>
    <row r="7" spans="2:29" x14ac:dyDescent="0.2">
      <c r="B7" s="17">
        <v>46420</v>
      </c>
      <c r="C7" s="18" t="str">
        <f t="shared" ref="C7:C33" si="5">TEXT(B7,"aaa")</f>
        <v>火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39"/>
      <c r="V7" s="2">
        <v>0.375</v>
      </c>
      <c r="W7" s="2">
        <v>0.72916666666666663</v>
      </c>
      <c r="X7" s="2">
        <v>5.2083333333333336E-2</v>
      </c>
      <c r="Y7" s="20">
        <f t="shared" si="1"/>
        <v>7.25</v>
      </c>
      <c r="Z7" s="21">
        <f t="shared" si="2"/>
        <v>7.25</v>
      </c>
      <c r="AA7" s="21">
        <f t="shared" si="3"/>
        <v>0</v>
      </c>
      <c r="AB7" s="20">
        <v>7.25</v>
      </c>
      <c r="AC7">
        <f t="shared" si="4"/>
        <v>7.25</v>
      </c>
    </row>
    <row r="8" spans="2:29" x14ac:dyDescent="0.2">
      <c r="B8" s="17">
        <v>46421</v>
      </c>
      <c r="C8" s="18" t="str">
        <f t="shared" si="5"/>
        <v>水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19"/>
      <c r="V8" s="2">
        <v>0.375</v>
      </c>
      <c r="W8" s="2">
        <v>0.72916666666666663</v>
      </c>
      <c r="X8" s="2">
        <v>5.2083333333333336E-2</v>
      </c>
      <c r="Y8" s="20">
        <f t="shared" si="1"/>
        <v>7.25</v>
      </c>
      <c r="Z8" s="21">
        <f t="shared" si="2"/>
        <v>7.25</v>
      </c>
      <c r="AA8" s="21">
        <f t="shared" si="3"/>
        <v>0</v>
      </c>
      <c r="AB8" s="20">
        <v>7.25</v>
      </c>
      <c r="AC8">
        <f t="shared" si="4"/>
        <v>7.25</v>
      </c>
    </row>
    <row r="9" spans="2:29" x14ac:dyDescent="0.2">
      <c r="B9" s="17">
        <v>46422</v>
      </c>
      <c r="C9" s="18" t="str">
        <f t="shared" si="5"/>
        <v>木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19"/>
      <c r="V9" s="2">
        <v>0.375</v>
      </c>
      <c r="W9" s="2">
        <v>0.72916666666666663</v>
      </c>
      <c r="X9" s="2">
        <v>5.2083333333333336E-2</v>
      </c>
      <c r="Y9" s="20">
        <f t="shared" si="1"/>
        <v>7.25</v>
      </c>
      <c r="Z9" s="21">
        <f t="shared" si="2"/>
        <v>7.25</v>
      </c>
      <c r="AA9" s="21">
        <f t="shared" si="3"/>
        <v>0</v>
      </c>
      <c r="AB9" s="20">
        <v>7.25</v>
      </c>
      <c r="AC9">
        <f t="shared" si="4"/>
        <v>7.25</v>
      </c>
    </row>
    <row r="10" spans="2:29" x14ac:dyDescent="0.2">
      <c r="B10" s="17">
        <v>46423</v>
      </c>
      <c r="C10" s="18" t="str">
        <f t="shared" si="5"/>
        <v>金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19"/>
      <c r="V10" s="2">
        <v>0.375</v>
      </c>
      <c r="W10" s="2">
        <v>0.72916666666666663</v>
      </c>
      <c r="X10" s="2">
        <v>5.2083333333333336E-2</v>
      </c>
      <c r="Y10" s="20">
        <f t="shared" si="1"/>
        <v>7.25</v>
      </c>
      <c r="Z10" s="21">
        <f t="shared" si="2"/>
        <v>7.25</v>
      </c>
      <c r="AA10" s="21">
        <f t="shared" si="3"/>
        <v>0</v>
      </c>
      <c r="AB10" s="20">
        <v>7.25</v>
      </c>
      <c r="AC10">
        <f t="shared" si="4"/>
        <v>7.25</v>
      </c>
    </row>
    <row r="11" spans="2:29" x14ac:dyDescent="0.2">
      <c r="B11" s="17">
        <v>46424</v>
      </c>
      <c r="C11" s="18" t="str">
        <f t="shared" si="5"/>
        <v>土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19"/>
      <c r="V11" s="2"/>
      <c r="W11" s="2"/>
      <c r="X11" s="2"/>
      <c r="Y11" s="20">
        <f t="shared" ref="Y11:Y33" si="6">(W11-V11-X11)*24</f>
        <v>0</v>
      </c>
      <c r="Z11" s="21">
        <f t="shared" ref="Z11:Z33" si="7">Y11-T11</f>
        <v>0</v>
      </c>
      <c r="AA11" s="21"/>
      <c r="AB11" s="20"/>
    </row>
    <row r="12" spans="2:29" x14ac:dyDescent="0.2">
      <c r="B12" s="17">
        <v>46425</v>
      </c>
      <c r="C12" s="18" t="str">
        <f t="shared" si="5"/>
        <v>日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19"/>
      <c r="V12" s="2"/>
      <c r="W12" s="2"/>
      <c r="X12" s="2"/>
      <c r="Y12" s="20">
        <f t="shared" si="6"/>
        <v>0</v>
      </c>
      <c r="Z12" s="21">
        <f t="shared" si="7"/>
        <v>0</v>
      </c>
      <c r="AA12" s="21"/>
      <c r="AB12" s="20"/>
    </row>
    <row r="13" spans="2:29" x14ac:dyDescent="0.2">
      <c r="B13" s="17">
        <v>46426</v>
      </c>
      <c r="C13" s="18" t="str">
        <f t="shared" si="5"/>
        <v>月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19"/>
      <c r="V13" s="2">
        <v>0.375</v>
      </c>
      <c r="W13" s="2">
        <v>0.72916666666666663</v>
      </c>
      <c r="X13" s="2">
        <v>5.2083333333333336E-2</v>
      </c>
      <c r="Y13" s="20">
        <f t="shared" si="6"/>
        <v>7.25</v>
      </c>
      <c r="Z13" s="21">
        <f t="shared" si="7"/>
        <v>7.25</v>
      </c>
      <c r="AA13" s="21">
        <f t="shared" ref="AA13:AA17" si="8">AC13-AB13</f>
        <v>0</v>
      </c>
      <c r="AB13" s="20">
        <v>7.25</v>
      </c>
      <c r="AC13">
        <f t="shared" ref="AC13:AC17" si="9">ABS(Y13)</f>
        <v>7.25</v>
      </c>
    </row>
    <row r="14" spans="2:29" x14ac:dyDescent="0.2">
      <c r="B14" s="17">
        <v>46427</v>
      </c>
      <c r="C14" s="18" t="str">
        <f t="shared" si="5"/>
        <v>火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19"/>
      <c r="V14" s="2">
        <v>0.375</v>
      </c>
      <c r="W14" s="2">
        <v>0.72916666666666663</v>
      </c>
      <c r="X14" s="2">
        <v>5.2083333333333336E-2</v>
      </c>
      <c r="Y14" s="20">
        <f t="shared" si="6"/>
        <v>7.25</v>
      </c>
      <c r="Z14" s="21">
        <f t="shared" si="7"/>
        <v>7.25</v>
      </c>
      <c r="AA14" s="21">
        <f t="shared" si="8"/>
        <v>0</v>
      </c>
      <c r="AB14" s="20">
        <v>7.25</v>
      </c>
      <c r="AC14">
        <f t="shared" si="9"/>
        <v>7.25</v>
      </c>
    </row>
    <row r="15" spans="2:29" x14ac:dyDescent="0.2">
      <c r="B15" s="17">
        <v>46428</v>
      </c>
      <c r="C15" s="18" t="str">
        <f t="shared" si="5"/>
        <v>水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19"/>
      <c r="V15" s="2">
        <v>0.375</v>
      </c>
      <c r="W15" s="2">
        <v>0.72916666666666663</v>
      </c>
      <c r="X15" s="2">
        <v>5.2083333333333336E-2</v>
      </c>
      <c r="Y15" s="20">
        <f t="shared" si="6"/>
        <v>7.25</v>
      </c>
      <c r="Z15" s="21">
        <f t="shared" si="7"/>
        <v>7.25</v>
      </c>
      <c r="AA15" s="21">
        <f t="shared" si="8"/>
        <v>0</v>
      </c>
      <c r="AB15" s="20">
        <v>7.25</v>
      </c>
      <c r="AC15">
        <f t="shared" si="9"/>
        <v>7.25</v>
      </c>
    </row>
    <row r="16" spans="2:29" x14ac:dyDescent="0.2">
      <c r="B16" s="17">
        <v>46429</v>
      </c>
      <c r="C16" s="18" t="str">
        <f t="shared" si="5"/>
        <v>木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39" t="s">
        <v>31</v>
      </c>
      <c r="V16" s="2"/>
      <c r="W16" s="2"/>
      <c r="X16" s="2"/>
      <c r="Y16" s="20">
        <f t="shared" si="6"/>
        <v>0</v>
      </c>
      <c r="Z16" s="21">
        <f t="shared" si="7"/>
        <v>0</v>
      </c>
      <c r="AA16" s="21"/>
      <c r="AB16" s="20"/>
    </row>
    <row r="17" spans="2:29" x14ac:dyDescent="0.2">
      <c r="B17" s="17">
        <v>46430</v>
      </c>
      <c r="C17" s="18" t="str">
        <f t="shared" si="5"/>
        <v>金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39"/>
      <c r="V17" s="2">
        <v>0.375</v>
      </c>
      <c r="W17" s="2">
        <v>0.72916666666666663</v>
      </c>
      <c r="X17" s="2">
        <v>5.2083333333333336E-2</v>
      </c>
      <c r="Y17" s="20">
        <f t="shared" si="6"/>
        <v>7.25</v>
      </c>
      <c r="Z17" s="21">
        <f t="shared" si="7"/>
        <v>7.25</v>
      </c>
      <c r="AA17" s="21">
        <f t="shared" si="8"/>
        <v>0</v>
      </c>
      <c r="AB17" s="20">
        <v>7.25</v>
      </c>
      <c r="AC17">
        <f t="shared" si="9"/>
        <v>7.25</v>
      </c>
    </row>
    <row r="18" spans="2:29" x14ac:dyDescent="0.2">
      <c r="B18" s="17">
        <v>46431</v>
      </c>
      <c r="C18" s="18" t="str">
        <f t="shared" si="5"/>
        <v>土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44"/>
      <c r="V18" s="2"/>
      <c r="W18" s="2"/>
      <c r="X18" s="2"/>
      <c r="Y18" s="20">
        <f t="shared" si="6"/>
        <v>0</v>
      </c>
      <c r="Z18" s="21">
        <f t="shared" si="7"/>
        <v>0</v>
      </c>
      <c r="AA18" s="21"/>
      <c r="AB18" s="20"/>
    </row>
    <row r="19" spans="2:29" x14ac:dyDescent="0.2">
      <c r="B19" s="17">
        <v>46432</v>
      </c>
      <c r="C19" s="18" t="str">
        <f t="shared" si="5"/>
        <v>日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19"/>
      <c r="V19" s="2"/>
      <c r="W19" s="2"/>
      <c r="X19" s="2"/>
      <c r="Y19" s="20">
        <f t="shared" si="6"/>
        <v>0</v>
      </c>
      <c r="Z19" s="21">
        <f t="shared" si="7"/>
        <v>0</v>
      </c>
      <c r="AA19" s="21"/>
      <c r="AB19" s="20"/>
    </row>
    <row r="20" spans="2:29" x14ac:dyDescent="0.2">
      <c r="B20" s="17">
        <v>46433</v>
      </c>
      <c r="C20" s="18" t="str">
        <f t="shared" si="5"/>
        <v>月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39"/>
      <c r="V20" s="2">
        <v>0.375</v>
      </c>
      <c r="W20" s="2">
        <v>0.72916666666666663</v>
      </c>
      <c r="X20" s="2">
        <v>5.2083333333333336E-2</v>
      </c>
      <c r="Y20" s="20">
        <f t="shared" si="6"/>
        <v>7.25</v>
      </c>
      <c r="Z20" s="21">
        <f t="shared" si="7"/>
        <v>7.25</v>
      </c>
      <c r="AA20" s="21">
        <f t="shared" ref="AA20:AA24" si="10">AC20-AB20</f>
        <v>0</v>
      </c>
      <c r="AB20" s="20">
        <v>7.25</v>
      </c>
      <c r="AC20">
        <f t="shared" ref="AC20:AC24" si="11">ABS(Y20)</f>
        <v>7.25</v>
      </c>
    </row>
    <row r="21" spans="2:29" x14ac:dyDescent="0.2">
      <c r="B21" s="17">
        <v>46434</v>
      </c>
      <c r="C21" s="18" t="str">
        <f t="shared" si="5"/>
        <v>火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39"/>
      <c r="V21" s="2">
        <v>0.375</v>
      </c>
      <c r="W21" s="2">
        <v>0.72916666666666663</v>
      </c>
      <c r="X21" s="2">
        <v>5.2083333333333336E-2</v>
      </c>
      <c r="Y21" s="20">
        <f t="shared" si="6"/>
        <v>7.25</v>
      </c>
      <c r="Z21" s="21">
        <f t="shared" si="7"/>
        <v>7.25</v>
      </c>
      <c r="AA21" s="21">
        <f t="shared" si="10"/>
        <v>0</v>
      </c>
      <c r="AB21" s="20">
        <v>7.25</v>
      </c>
      <c r="AC21">
        <f t="shared" si="11"/>
        <v>7.25</v>
      </c>
    </row>
    <row r="22" spans="2:29" x14ac:dyDescent="0.2">
      <c r="B22" s="17">
        <v>46435</v>
      </c>
      <c r="C22" s="18" t="str">
        <f t="shared" si="5"/>
        <v>水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19"/>
      <c r="V22" s="2">
        <v>0.375</v>
      </c>
      <c r="W22" s="2">
        <v>0.72916666666666663</v>
      </c>
      <c r="X22" s="2">
        <v>5.2083333333333336E-2</v>
      </c>
      <c r="Y22" s="20">
        <f t="shared" si="6"/>
        <v>7.25</v>
      </c>
      <c r="Z22" s="21">
        <f t="shared" si="7"/>
        <v>7.25</v>
      </c>
      <c r="AA22" s="21">
        <f t="shared" si="10"/>
        <v>0</v>
      </c>
      <c r="AB22" s="20">
        <v>7.25</v>
      </c>
      <c r="AC22">
        <f t="shared" si="11"/>
        <v>7.25</v>
      </c>
    </row>
    <row r="23" spans="2:29" x14ac:dyDescent="0.2">
      <c r="B23" s="17">
        <v>46436</v>
      </c>
      <c r="C23" s="18" t="str">
        <f t="shared" si="5"/>
        <v>木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19"/>
      <c r="V23" s="2">
        <v>0.375</v>
      </c>
      <c r="W23" s="2">
        <v>0.72916666666666663</v>
      </c>
      <c r="X23" s="2">
        <v>5.2083333333333336E-2</v>
      </c>
      <c r="Y23" s="20">
        <f t="shared" si="6"/>
        <v>7.25</v>
      </c>
      <c r="Z23" s="21">
        <f t="shared" si="7"/>
        <v>7.25</v>
      </c>
      <c r="AA23" s="21">
        <f t="shared" si="10"/>
        <v>0</v>
      </c>
      <c r="AB23" s="20">
        <v>7.25</v>
      </c>
      <c r="AC23">
        <f t="shared" si="11"/>
        <v>7.25</v>
      </c>
    </row>
    <row r="24" spans="2:29" x14ac:dyDescent="0.2">
      <c r="B24" s="17">
        <v>46437</v>
      </c>
      <c r="C24" s="18" t="str">
        <f t="shared" si="5"/>
        <v>金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19"/>
      <c r="V24" s="2">
        <v>0.375</v>
      </c>
      <c r="W24" s="2">
        <v>0.72916666666666663</v>
      </c>
      <c r="X24" s="2">
        <v>5.2083333333333336E-2</v>
      </c>
      <c r="Y24" s="20">
        <f t="shared" si="6"/>
        <v>7.25</v>
      </c>
      <c r="Z24" s="21">
        <f t="shared" si="7"/>
        <v>7.25</v>
      </c>
      <c r="AA24" s="21">
        <f t="shared" si="10"/>
        <v>0</v>
      </c>
      <c r="AB24" s="20">
        <v>7.25</v>
      </c>
      <c r="AC24">
        <f t="shared" si="11"/>
        <v>7.25</v>
      </c>
    </row>
    <row r="25" spans="2:29" x14ac:dyDescent="0.2">
      <c r="B25" s="17">
        <v>46438</v>
      </c>
      <c r="C25" s="18" t="str">
        <f t="shared" si="5"/>
        <v>土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19"/>
      <c r="V25" s="2"/>
      <c r="W25" s="2"/>
      <c r="X25" s="2"/>
      <c r="Y25" s="20">
        <f t="shared" si="6"/>
        <v>0</v>
      </c>
      <c r="Z25" s="21">
        <f t="shared" si="7"/>
        <v>0</v>
      </c>
      <c r="AA25" s="21"/>
      <c r="AB25" s="20"/>
    </row>
    <row r="26" spans="2:29" x14ac:dyDescent="0.2">
      <c r="B26" s="17">
        <v>46439</v>
      </c>
      <c r="C26" s="18" t="str">
        <f t="shared" si="5"/>
        <v>日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19"/>
      <c r="V26" s="2"/>
      <c r="W26" s="2"/>
      <c r="X26" s="2"/>
      <c r="Y26" s="20">
        <f t="shared" si="6"/>
        <v>0</v>
      </c>
      <c r="Z26" s="21">
        <f t="shared" si="7"/>
        <v>0</v>
      </c>
      <c r="AA26" s="21"/>
      <c r="AB26" s="20"/>
    </row>
    <row r="27" spans="2:29" x14ac:dyDescent="0.2">
      <c r="B27" s="17">
        <v>46440</v>
      </c>
      <c r="C27" s="18" t="str">
        <f t="shared" si="5"/>
        <v>月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19"/>
      <c r="V27" s="2">
        <v>0.375</v>
      </c>
      <c r="W27" s="2">
        <v>0.72916666666666663</v>
      </c>
      <c r="X27" s="2">
        <v>5.2083333333333336E-2</v>
      </c>
      <c r="Y27" s="20">
        <f t="shared" si="6"/>
        <v>7.25</v>
      </c>
      <c r="Z27" s="21">
        <f t="shared" si="7"/>
        <v>7.25</v>
      </c>
      <c r="AA27" s="21">
        <f t="shared" ref="AA27:AA31" si="12">AC27-AB27</f>
        <v>0</v>
      </c>
      <c r="AB27" s="20">
        <v>7.25</v>
      </c>
      <c r="AC27">
        <f t="shared" ref="AC27:AC31" si="13">ABS(Y27)</f>
        <v>7.25</v>
      </c>
    </row>
    <row r="28" spans="2:29" x14ac:dyDescent="0.2">
      <c r="B28" s="17">
        <v>46441</v>
      </c>
      <c r="C28" s="18" t="str">
        <f t="shared" si="5"/>
        <v>火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39" t="s">
        <v>37</v>
      </c>
      <c r="V28" s="2"/>
      <c r="W28" s="2"/>
      <c r="X28" s="2"/>
      <c r="Y28" s="20">
        <f t="shared" si="6"/>
        <v>0</v>
      </c>
      <c r="Z28" s="21">
        <f t="shared" si="7"/>
        <v>0</v>
      </c>
      <c r="AA28" s="21"/>
      <c r="AB28" s="20"/>
    </row>
    <row r="29" spans="2:29" x14ac:dyDescent="0.2">
      <c r="B29" s="17">
        <v>46442</v>
      </c>
      <c r="C29" s="18" t="str">
        <f t="shared" si="5"/>
        <v>水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45"/>
      <c r="V29" s="2">
        <v>0.375</v>
      </c>
      <c r="W29" s="2">
        <v>0.72916666666666663</v>
      </c>
      <c r="X29" s="2">
        <v>5.2083333333333336E-2</v>
      </c>
      <c r="Y29" s="20">
        <f t="shared" si="6"/>
        <v>7.25</v>
      </c>
      <c r="Z29" s="21">
        <f t="shared" si="7"/>
        <v>7.25</v>
      </c>
      <c r="AA29" s="21">
        <f t="shared" si="12"/>
        <v>0</v>
      </c>
      <c r="AB29" s="20">
        <v>7.25</v>
      </c>
      <c r="AC29">
        <f t="shared" si="13"/>
        <v>7.25</v>
      </c>
    </row>
    <row r="30" spans="2:29" x14ac:dyDescent="0.2">
      <c r="B30" s="17">
        <v>46443</v>
      </c>
      <c r="C30" s="18" t="str">
        <f t="shared" si="5"/>
        <v>木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5"/>
      <c r="V30" s="2">
        <v>0.375</v>
      </c>
      <c r="W30" s="2">
        <v>0.72916666666666663</v>
      </c>
      <c r="X30" s="2">
        <v>5.2083333333333336E-2</v>
      </c>
      <c r="Y30" s="20">
        <f t="shared" si="6"/>
        <v>7.25</v>
      </c>
      <c r="Z30" s="21">
        <f t="shared" si="7"/>
        <v>7.25</v>
      </c>
      <c r="AA30" s="21">
        <f t="shared" si="12"/>
        <v>0</v>
      </c>
      <c r="AB30" s="20">
        <v>7.25</v>
      </c>
      <c r="AC30">
        <f t="shared" si="13"/>
        <v>7.25</v>
      </c>
    </row>
    <row r="31" spans="2:29" x14ac:dyDescent="0.2">
      <c r="B31" s="17">
        <v>46444</v>
      </c>
      <c r="C31" s="18" t="str">
        <f t="shared" si="5"/>
        <v>金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19"/>
      <c r="V31" s="2">
        <v>0.375</v>
      </c>
      <c r="W31" s="2">
        <v>0.72916666666666663</v>
      </c>
      <c r="X31" s="2">
        <v>5.2083333333333336E-2</v>
      </c>
      <c r="Y31" s="20">
        <f t="shared" si="6"/>
        <v>7.25</v>
      </c>
      <c r="Z31" s="21">
        <f t="shared" si="7"/>
        <v>7.25</v>
      </c>
      <c r="AA31" s="21">
        <f t="shared" si="12"/>
        <v>0</v>
      </c>
      <c r="AB31" s="20">
        <v>7.25</v>
      </c>
      <c r="AC31">
        <f t="shared" si="13"/>
        <v>7.25</v>
      </c>
    </row>
    <row r="32" spans="2:29" x14ac:dyDescent="0.2">
      <c r="B32" s="17">
        <v>46445</v>
      </c>
      <c r="C32" s="18" t="str">
        <f t="shared" si="5"/>
        <v>土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39"/>
      <c r="V32" s="2"/>
      <c r="W32" s="2"/>
      <c r="X32" s="2"/>
      <c r="Y32" s="20">
        <f t="shared" si="6"/>
        <v>0</v>
      </c>
      <c r="Z32" s="21">
        <f t="shared" si="7"/>
        <v>0</v>
      </c>
      <c r="AA32" s="21"/>
      <c r="AB32" s="20"/>
    </row>
    <row r="33" spans="2:28" x14ac:dyDescent="0.2">
      <c r="B33" s="17">
        <v>46446</v>
      </c>
      <c r="C33" s="18" t="str">
        <f t="shared" si="5"/>
        <v>日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19"/>
      <c r="V33" s="2"/>
      <c r="W33" s="2"/>
      <c r="X33" s="2"/>
      <c r="Y33" s="20">
        <f t="shared" si="6"/>
        <v>0</v>
      </c>
      <c r="Z33" s="21">
        <f t="shared" si="7"/>
        <v>0</v>
      </c>
      <c r="AA33" s="21"/>
      <c r="AB33" s="20"/>
    </row>
    <row r="34" spans="2:28" x14ac:dyDescent="0.2">
      <c r="B34" s="17"/>
      <c r="C34" s="18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39"/>
      <c r="V34" s="2"/>
      <c r="W34" s="2"/>
      <c r="X34" s="2"/>
      <c r="Y34" s="20"/>
      <c r="Z34" s="21"/>
      <c r="AA34" s="21"/>
      <c r="AB34" s="20"/>
    </row>
    <row r="35" spans="2:28" x14ac:dyDescent="0.2">
      <c r="B35" s="17"/>
      <c r="C35" s="18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39"/>
      <c r="V35" s="2"/>
      <c r="W35" s="2"/>
      <c r="X35" s="2"/>
      <c r="Y35" s="20"/>
      <c r="Z35" s="21"/>
      <c r="AA35" s="21"/>
      <c r="AB35" s="20"/>
    </row>
    <row r="36" spans="2:28" ht="13.8" thickBo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>
        <f t="shared" si="0"/>
        <v>0</v>
      </c>
      <c r="U36" s="46"/>
      <c r="V36" s="2"/>
      <c r="W36" s="2"/>
      <c r="X36" s="2"/>
      <c r="Y36" s="20"/>
      <c r="Z36" s="21"/>
      <c r="AA36" s="21"/>
      <c r="AB36" s="20"/>
    </row>
    <row r="37" spans="2:28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S37" si="14">SUM(E6:E36)</f>
        <v>0</v>
      </c>
      <c r="F37" s="22">
        <f t="shared" si="14"/>
        <v>0</v>
      </c>
      <c r="G37" s="22">
        <f t="shared" si="14"/>
        <v>0</v>
      </c>
      <c r="H37" s="22">
        <f t="shared" si="14"/>
        <v>0</v>
      </c>
      <c r="I37" s="22">
        <f t="shared" si="14"/>
        <v>0</v>
      </c>
      <c r="J37" s="22">
        <f t="shared" si="14"/>
        <v>0</v>
      </c>
      <c r="K37" s="22">
        <f t="shared" si="14"/>
        <v>0</v>
      </c>
      <c r="L37" s="22">
        <f t="shared" si="14"/>
        <v>0</v>
      </c>
      <c r="M37" s="22">
        <f t="shared" si="14"/>
        <v>0</v>
      </c>
      <c r="N37" s="22">
        <f t="shared" ref="N37:O37" si="15">SUM(N6:N36)</f>
        <v>0</v>
      </c>
      <c r="O37" s="22">
        <f t="shared" si="15"/>
        <v>0</v>
      </c>
      <c r="P37" s="22">
        <f t="shared" si="14"/>
        <v>0</v>
      </c>
      <c r="Q37" s="22">
        <f t="shared" si="14"/>
        <v>0</v>
      </c>
      <c r="R37" s="22">
        <f t="shared" si="14"/>
        <v>0</v>
      </c>
      <c r="S37" s="22">
        <f t="shared" si="14"/>
        <v>0</v>
      </c>
      <c r="T37" s="23">
        <f>SUM(T6:T36)</f>
        <v>0</v>
      </c>
      <c r="U37" s="24"/>
      <c r="V37" s="2"/>
      <c r="Y37" s="21"/>
      <c r="AA37" s="21">
        <f>SUM(AA6:AA36)</f>
        <v>0</v>
      </c>
      <c r="AB37" s="21">
        <f>SUM(AB6:AB36)</f>
        <v>130.5</v>
      </c>
    </row>
    <row r="38" spans="2:28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8" x14ac:dyDescent="0.2">
      <c r="B40" t="s">
        <v>22</v>
      </c>
      <c r="T40" s="13" t="s">
        <v>23</v>
      </c>
      <c r="U40" s="13" t="s">
        <v>5</v>
      </c>
    </row>
    <row r="41" spans="2:28" x14ac:dyDescent="0.2">
      <c r="B41" s="17"/>
      <c r="C41" s="18" t="str">
        <f t="shared" ref="C41:C48" si="16">TEXT(B41,"aaa")</f>
        <v>土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>
        <f t="shared" ref="T41:T47" si="17">SUM(D41:S41)</f>
        <v>0</v>
      </c>
      <c r="U41" s="40"/>
      <c r="W41" s="38"/>
    </row>
    <row r="42" spans="2:28" x14ac:dyDescent="0.2">
      <c r="B42" s="17"/>
      <c r="C42" s="18" t="str">
        <f t="shared" si="16"/>
        <v>土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>
        <f t="shared" si="17"/>
        <v>0</v>
      </c>
      <c r="U42" s="40"/>
      <c r="W42" s="38"/>
    </row>
    <row r="43" spans="2:28" x14ac:dyDescent="0.2">
      <c r="B43" s="17"/>
      <c r="C43" s="18" t="str">
        <f t="shared" si="16"/>
        <v>土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>
        <f t="shared" si="17"/>
        <v>0</v>
      </c>
      <c r="U43" s="40"/>
      <c r="W43" s="38"/>
    </row>
    <row r="44" spans="2:28" x14ac:dyDescent="0.2">
      <c r="B44" s="17"/>
      <c r="C44" s="18" t="str">
        <f t="shared" si="16"/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si="17"/>
        <v>0</v>
      </c>
      <c r="U44" s="40"/>
    </row>
    <row r="45" spans="2:28" x14ac:dyDescent="0.2">
      <c r="B45" s="17"/>
      <c r="C45" s="18" t="str">
        <f t="shared" si="16"/>
        <v>土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>
        <f t="shared" si="17"/>
        <v>0</v>
      </c>
      <c r="U45" s="40"/>
    </row>
    <row r="46" spans="2:28" x14ac:dyDescent="0.2">
      <c r="B46" s="17"/>
      <c r="C46" s="18" t="str">
        <f t="shared" si="16"/>
        <v>土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si="17"/>
        <v>0</v>
      </c>
      <c r="U46" s="40"/>
    </row>
    <row r="47" spans="2:28" x14ac:dyDescent="0.2">
      <c r="B47" s="17"/>
      <c r="C47" s="18" t="str">
        <f t="shared" si="16"/>
        <v>土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>
        <f t="shared" si="17"/>
        <v>0</v>
      </c>
      <c r="U47" s="40"/>
      <c r="W47" s="38"/>
    </row>
    <row r="48" spans="2:28" x14ac:dyDescent="0.2">
      <c r="B48" s="17"/>
      <c r="C48" s="18" t="str">
        <f t="shared" si="16"/>
        <v>土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>
        <f t="shared" ref="T48:T61" si="18">SUM(D48:S48)</f>
        <v>0</v>
      </c>
      <c r="U48" s="40"/>
    </row>
    <row r="49" spans="2:23" x14ac:dyDescent="0.2">
      <c r="B49" s="17"/>
      <c r="C49" s="18" t="str">
        <f t="shared" ref="C49" si="19">TEXT(B49,"aaa")</f>
        <v>土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>
        <f t="shared" si="18"/>
        <v>0</v>
      </c>
      <c r="U49" s="40"/>
    </row>
    <row r="50" spans="2:23" x14ac:dyDescent="0.2">
      <c r="B50" s="17">
        <v>46422</v>
      </c>
      <c r="C50" s="18" t="str">
        <f t="shared" ref="C50" si="20">TEXT(B50,"aaa")</f>
        <v>木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>
        <v>386</v>
      </c>
      <c r="S50" s="34"/>
      <c r="T50" s="34">
        <f t="shared" si="18"/>
        <v>386</v>
      </c>
      <c r="U50" s="40" t="s">
        <v>158</v>
      </c>
    </row>
    <row r="51" spans="2:23" x14ac:dyDescent="0.2">
      <c r="B51" s="17">
        <v>46422</v>
      </c>
      <c r="C51" s="18" t="str">
        <f t="shared" ref="C51:C53" si="21">TEXT(B51,"aaa")</f>
        <v>木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>
        <v>208</v>
      </c>
      <c r="S51" s="34"/>
      <c r="T51" s="34">
        <f t="shared" si="18"/>
        <v>208</v>
      </c>
      <c r="U51" s="40" t="s">
        <v>153</v>
      </c>
      <c r="W51" s="38"/>
    </row>
    <row r="52" spans="2:23" x14ac:dyDescent="0.2">
      <c r="B52" s="17">
        <v>46422</v>
      </c>
      <c r="C52" s="18" t="str">
        <f t="shared" si="21"/>
        <v>木</v>
      </c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34">
        <v>208</v>
      </c>
      <c r="S52" s="50"/>
      <c r="T52" s="34">
        <f t="shared" si="18"/>
        <v>208</v>
      </c>
      <c r="U52" s="67" t="s">
        <v>134</v>
      </c>
      <c r="W52" s="38"/>
    </row>
    <row r="53" spans="2:23" x14ac:dyDescent="0.2">
      <c r="B53" s="17">
        <v>46422</v>
      </c>
      <c r="C53" s="18" t="str">
        <f t="shared" si="21"/>
        <v>木</v>
      </c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>
        <v>10130</v>
      </c>
      <c r="S53" s="50"/>
      <c r="T53" s="50">
        <f t="shared" si="18"/>
        <v>10130</v>
      </c>
      <c r="U53" s="40" t="s">
        <v>132</v>
      </c>
      <c r="V53" t="s">
        <v>159</v>
      </c>
      <c r="W53" s="38"/>
    </row>
    <row r="54" spans="2:23" x14ac:dyDescent="0.2">
      <c r="B54" s="59" t="s">
        <v>160</v>
      </c>
      <c r="C54" s="66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>
        <v>35400</v>
      </c>
      <c r="S54" s="50"/>
      <c r="T54" s="50">
        <f t="shared" si="18"/>
        <v>35400</v>
      </c>
      <c r="U54" s="40" t="s">
        <v>133</v>
      </c>
      <c r="V54" t="s">
        <v>161</v>
      </c>
      <c r="W54" s="38"/>
    </row>
    <row r="55" spans="2:23" x14ac:dyDescent="0.2">
      <c r="B55" s="59"/>
      <c r="C55" s="66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67"/>
      <c r="W55" s="38"/>
    </row>
    <row r="56" spans="2:23" x14ac:dyDescent="0.2">
      <c r="B56" s="17">
        <v>46428</v>
      </c>
      <c r="C56" s="18" t="str">
        <f t="shared" ref="C56" si="22">TEXT(B56,"aaa")</f>
        <v>水</v>
      </c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>
        <v>9800</v>
      </c>
      <c r="S56" s="50"/>
      <c r="T56" s="50">
        <f t="shared" si="18"/>
        <v>9800</v>
      </c>
      <c r="U56" s="40" t="s">
        <v>130</v>
      </c>
      <c r="V56" t="s">
        <v>162</v>
      </c>
      <c r="W56" s="38"/>
    </row>
    <row r="57" spans="2:23" x14ac:dyDescent="0.2">
      <c r="B57" s="17">
        <v>46428</v>
      </c>
      <c r="C57" s="18" t="str">
        <f t="shared" ref="C57:C59" si="23">TEXT(B57,"aaa")</f>
        <v>水</v>
      </c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34">
        <v>386</v>
      </c>
      <c r="S57" s="50"/>
      <c r="T57" s="50">
        <f t="shared" si="18"/>
        <v>386</v>
      </c>
      <c r="U57" s="40" t="s">
        <v>131</v>
      </c>
      <c r="W57" s="38"/>
    </row>
    <row r="58" spans="2:23" x14ac:dyDescent="0.2">
      <c r="B58" s="17">
        <v>46428</v>
      </c>
      <c r="C58" s="18" t="str">
        <f t="shared" si="23"/>
        <v>水</v>
      </c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>
        <v>209</v>
      </c>
      <c r="S58" s="50"/>
      <c r="T58" s="50">
        <f t="shared" si="18"/>
        <v>209</v>
      </c>
      <c r="U58" s="67" t="s">
        <v>163</v>
      </c>
      <c r="W58" s="38"/>
    </row>
    <row r="59" spans="2:23" x14ac:dyDescent="0.2">
      <c r="B59" s="17">
        <v>46429</v>
      </c>
      <c r="C59" s="18" t="str">
        <f t="shared" si="23"/>
        <v>木</v>
      </c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34">
        <v>208</v>
      </c>
      <c r="S59" s="50"/>
      <c r="T59" s="50">
        <f t="shared" si="18"/>
        <v>208</v>
      </c>
      <c r="U59" s="67" t="s">
        <v>134</v>
      </c>
      <c r="W59" s="38"/>
    </row>
    <row r="60" spans="2:23" x14ac:dyDescent="0.2">
      <c r="B60" s="17">
        <v>46429</v>
      </c>
      <c r="C60" s="18" t="str">
        <f t="shared" ref="C60" si="24">TEXT(B60,"aaa")</f>
        <v>木</v>
      </c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>
        <v>10330</v>
      </c>
      <c r="S60" s="50"/>
      <c r="T60" s="50">
        <f t="shared" si="18"/>
        <v>10330</v>
      </c>
      <c r="U60" s="40" t="s">
        <v>132</v>
      </c>
      <c r="V60" t="s">
        <v>164</v>
      </c>
      <c r="W60" s="38"/>
    </row>
    <row r="61" spans="2:23" x14ac:dyDescent="0.2">
      <c r="B61" s="17">
        <v>46428</v>
      </c>
      <c r="C61" s="18" t="str">
        <f t="shared" ref="C61" si="25">TEXT(B61,"aaa")</f>
        <v>水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>
        <v>6822</v>
      </c>
      <c r="S61" s="50"/>
      <c r="T61" s="50">
        <f t="shared" si="18"/>
        <v>6822</v>
      </c>
      <c r="U61" s="40" t="s">
        <v>133</v>
      </c>
      <c r="V61" t="s">
        <v>165</v>
      </c>
    </row>
    <row r="62" spans="2:23" ht="13.8" thickBot="1" x14ac:dyDescent="0.25">
      <c r="B62" s="25"/>
      <c r="C62" s="26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42"/>
      <c r="V62" s="38"/>
    </row>
    <row r="63" spans="2:23" ht="13.8" thickTop="1" x14ac:dyDescent="0.2">
      <c r="B63" s="29" t="s">
        <v>21</v>
      </c>
      <c r="C63" s="22" t="s">
        <v>0</v>
      </c>
      <c r="D63" s="22">
        <f t="shared" ref="D63:T63" si="26">SUM(D41:D62)</f>
        <v>0</v>
      </c>
      <c r="E63" s="22">
        <f t="shared" si="26"/>
        <v>0</v>
      </c>
      <c r="F63" s="22">
        <f t="shared" si="26"/>
        <v>0</v>
      </c>
      <c r="G63" s="22">
        <f t="shared" si="26"/>
        <v>0</v>
      </c>
      <c r="H63" s="22">
        <f t="shared" si="26"/>
        <v>0</v>
      </c>
      <c r="I63" s="22">
        <f t="shared" si="26"/>
        <v>0</v>
      </c>
      <c r="J63" s="22">
        <f t="shared" si="26"/>
        <v>0</v>
      </c>
      <c r="K63" s="22">
        <f t="shared" si="26"/>
        <v>0</v>
      </c>
      <c r="L63" s="22">
        <f t="shared" si="26"/>
        <v>0</v>
      </c>
      <c r="M63" s="22">
        <f t="shared" si="26"/>
        <v>0</v>
      </c>
      <c r="N63" s="22">
        <f t="shared" si="26"/>
        <v>0</v>
      </c>
      <c r="O63" s="22">
        <f t="shared" si="26"/>
        <v>0</v>
      </c>
      <c r="P63" s="22">
        <f t="shared" si="26"/>
        <v>0</v>
      </c>
      <c r="Q63" s="22">
        <f t="shared" si="26"/>
        <v>0</v>
      </c>
      <c r="R63" s="22">
        <f t="shared" si="26"/>
        <v>74087</v>
      </c>
      <c r="S63" s="22">
        <f t="shared" si="26"/>
        <v>0</v>
      </c>
      <c r="T63" s="22">
        <f t="shared" si="26"/>
        <v>74087</v>
      </c>
      <c r="U63" s="43"/>
    </row>
  </sheetData>
  <phoneticPr fontId="1"/>
  <conditionalFormatting sqref="Z6:Z36">
    <cfRule type="cellIs" dxfId="2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1:AC52"/>
  <sheetViews>
    <sheetView topLeftCell="B1" zoomScale="70" zoomScaleNormal="70" workbookViewId="0">
      <pane xSplit="2" ySplit="5" topLeftCell="D6" activePane="bottomRight" state="frozen"/>
      <selection activeCell="D1" sqref="D1:Q2"/>
      <selection pane="topRight" activeCell="D1" sqref="D1:Q2"/>
      <selection pane="bottomLeft" activeCell="D1" sqref="D1:Q2"/>
      <selection pane="bottomRight" activeCell="T38" sqref="T38"/>
    </sheetView>
  </sheetViews>
  <sheetFormatPr defaultRowHeight="13.2" x14ac:dyDescent="0.2"/>
  <cols>
    <col min="2" max="2" width="16" customWidth="1"/>
    <col min="3" max="3" width="5.21875" bestFit="1" customWidth="1"/>
    <col min="4" max="19" width="14.6640625" customWidth="1"/>
    <col min="21" max="21" width="16.21875" customWidth="1"/>
  </cols>
  <sheetData>
    <row r="1" spans="2:29" ht="33" customHeight="1" x14ac:dyDescent="0.2">
      <c r="F1" s="33"/>
      <c r="I1" s="61"/>
      <c r="K1" s="38"/>
      <c r="M1" s="38"/>
      <c r="N1" s="62"/>
    </row>
    <row r="2" spans="2:29" ht="39.6" x14ac:dyDescent="0.2">
      <c r="B2" s="15" t="s">
        <v>6</v>
      </c>
      <c r="C2" s="11"/>
      <c r="D2" s="16"/>
      <c r="E2" s="16"/>
      <c r="F2" s="64"/>
      <c r="G2" s="16"/>
      <c r="H2" s="16"/>
      <c r="I2" s="64"/>
      <c r="J2" s="16"/>
      <c r="K2" s="16"/>
      <c r="L2" s="16"/>
      <c r="M2" s="16"/>
      <c r="N2" s="64"/>
      <c r="O2" s="16"/>
      <c r="P2" s="16"/>
      <c r="Q2" s="16"/>
      <c r="R2" s="16"/>
      <c r="S2" s="16">
        <v>99</v>
      </c>
      <c r="T2" s="12"/>
      <c r="U2" s="12"/>
    </row>
    <row r="3" spans="2:29" ht="19.5" customHeight="1" x14ac:dyDescent="0.2">
      <c r="B3" s="14" t="s">
        <v>7</v>
      </c>
      <c r="C3" s="14"/>
      <c r="D3" s="13" t="str">
        <f>IF(ISERROR(VLOOKUP(D2,件番!$A$10:$D$113,2,FALSE)),"",(VLOOKUP(D2,件番!$A$10:$D$113,2,FALSE)))</f>
        <v/>
      </c>
      <c r="E3" s="13" t="str">
        <f>IF(ISERROR(VLOOKUP(E2,件番!$A$10:$D$113,2,FALSE)),"",(VLOOKUP(E2,件番!$A$10:$D$113,2,FALSE)))</f>
        <v/>
      </c>
      <c r="F3" s="13" t="str">
        <f>IF(ISERROR(VLOOKUP(F2,件番!$A$10:$D$113,2,FALSE)),"",(VLOOKUP(F2,件番!$A$10:$D$113,2,FALSE)))</f>
        <v/>
      </c>
      <c r="G3" s="13" t="str">
        <f>IF(ISERROR(VLOOKUP(G2,件番!$A$10:$D$113,2,FALSE)),"",(VLOOKUP(G2,件番!$A$10:$D$113,2,FALSE)))</f>
        <v/>
      </c>
      <c r="H3" s="13" t="str">
        <f>IF(ISERROR(VLOOKUP(H2,件番!$A$10:$D$113,2,FALSE)),"",(VLOOKUP(H2,件番!$A$10:$D$113,2,FALSE)))</f>
        <v/>
      </c>
      <c r="I3" s="13" t="str">
        <f>IF(ISERROR(VLOOKUP(I2,件番!$A$10:$D$113,2,FALSE)),"",(VLOOKUP(I2,件番!$A$10:$D$113,2,FALSE)))</f>
        <v/>
      </c>
      <c r="J3" s="13" t="str">
        <f>IF(ISERROR(VLOOKUP(J2,件番!$A$10:$D$113,2,FALSE)),"",(VLOOKUP(J2,件番!$A$10:$D$113,2,FALSE)))</f>
        <v/>
      </c>
      <c r="K3" s="13" t="str">
        <f>IF(ISERROR(VLOOKUP(K2,件番!$A$10:$D$113,2,FALSE)),"",(VLOOKUP(K2,件番!$A$10:$D$113,2,FALSE)))</f>
        <v/>
      </c>
      <c r="L3" s="13" t="str">
        <f>IF(ISERROR(VLOOKUP(L2,件番!$A$10:$D$113,2,FALSE)),"",(VLOOKUP(L2,件番!$A$10:$D$113,2,FALSE)))</f>
        <v/>
      </c>
      <c r="M3" s="13" t="str">
        <f>IF(ISERROR(VLOOKUP(M2,件番!$A$10:$D$113,2,FALSE)),"",(VLOOKUP(M2,件番!$A$10:$D$113,2,FALSE)))</f>
        <v/>
      </c>
      <c r="N3" s="13" t="str">
        <f>IF(ISERROR(VLOOKUP(N2,件番!$A$10:$D$113,2,FALSE)),"",(VLOOKUP(N2,件番!$A$10:$D$113,2,FALSE)))</f>
        <v/>
      </c>
      <c r="O3" s="13" t="str">
        <f>IF(ISERROR(VLOOKUP(O2,件番!$A$10:$D$113,2,FALSE)),"",(VLOOKUP(O2,件番!$A$10:$D$113,2,FALSE)))</f>
        <v/>
      </c>
      <c r="P3" s="13" t="str">
        <f>IF(ISERROR(VLOOKUP(P2,件番!$A$10:$D$113,2,FALSE)),"",(VLOOKUP(P2,件番!$A$10:$D$113,2,FALSE)))</f>
        <v/>
      </c>
      <c r="Q3" s="13"/>
      <c r="R3" s="13"/>
      <c r="S3" s="13" t="str">
        <f>IF(ISERROR(VLOOKUP(S2,件番!$A$3:$D$113,2,FALSE)),"",(VLOOKUP(S2,件番!$A$3:$D$113,2,FALSE)))</f>
        <v>2032B1008</v>
      </c>
      <c r="T3" s="13"/>
      <c r="U3" s="13"/>
    </row>
    <row r="4" spans="2:29" ht="25.8" customHeight="1" x14ac:dyDescent="0.2">
      <c r="B4" s="14" t="s">
        <v>8</v>
      </c>
      <c r="C4" s="14"/>
      <c r="D4" s="13" t="str">
        <f>IF(ISERROR(VLOOKUP(D2,件番!$A$10:$D$113,2,FALSE)),"",(VLOOKUP(D2,件番!$A$10:$D$113,3,FALSE)))</f>
        <v/>
      </c>
      <c r="E4" s="13" t="str">
        <f>IF(ISERROR(VLOOKUP(E2,件番!$A$10:$D$113,2,FALSE)),"",(VLOOKUP(E2,件番!$A$10:$D$113,3,FALSE)))</f>
        <v/>
      </c>
      <c r="F4" s="13" t="str">
        <f>IF(ISERROR(VLOOKUP(F2,件番!$A$10:$D$113,2,FALSE)),"",(VLOOKUP(F2,件番!$A$10:$D$113,3,FALSE)))</f>
        <v/>
      </c>
      <c r="G4" s="13" t="str">
        <f>IF(ISERROR(VLOOKUP(G2,件番!$A$10:$D$113,2,FALSE)),"",(VLOOKUP(G2,件番!$A$10:$D$113,3,FALSE)))</f>
        <v/>
      </c>
      <c r="H4" s="13" t="str">
        <f>IF(ISERROR(VLOOKUP(H2,件番!$A$10:$D$113,2,FALSE)),"",(VLOOKUP(H2,件番!$A$10:$D$113,3,FALSE)))</f>
        <v/>
      </c>
      <c r="I4" s="13" t="str">
        <f>IF(ISERROR(VLOOKUP(I2,件番!$A$10:$D$113,2,FALSE)),"",(VLOOKUP(I2,件番!$A$10:$D$113,3,FALSE)))</f>
        <v/>
      </c>
      <c r="J4" s="13" t="str">
        <f>IF(ISERROR(VLOOKUP(J2,件番!$A$10:$D$113,2,FALSE)),"",(VLOOKUP(J2,件番!$A$10:$D$113,3,FALSE)))</f>
        <v/>
      </c>
      <c r="K4" s="13" t="str">
        <f>IF(ISERROR(VLOOKUP(K2,件番!$A$10:$D$113,2,FALSE)),"",(VLOOKUP(K2,件番!$A$10:$D$113,3,FALSE)))</f>
        <v/>
      </c>
      <c r="L4" s="13" t="str">
        <f>IF(ISERROR(VLOOKUP(L2,件番!$A$10:$D$113,2,FALSE)),"",(VLOOKUP(L2,件番!$A$10:$D$113,3,FALSE)))</f>
        <v/>
      </c>
      <c r="M4" s="13" t="str">
        <f>IF(ISERROR(VLOOKUP(M2,件番!$A$10:$D$113,2,FALSE)),"",(VLOOKUP(M2,件番!$A$10:$D$113,3,FALSE)))</f>
        <v/>
      </c>
      <c r="N4" s="13" t="str">
        <f>IF(ISERROR(VLOOKUP(N2,件番!$A$10:$D$113,2,FALSE)),"",(VLOOKUP(N2,件番!$A$10:$D$113,3,FALSE)))</f>
        <v/>
      </c>
      <c r="O4" s="13" t="str">
        <f>IF(ISERROR(VLOOKUP(O2,件番!$A$10:$D$113,2,FALSE)),"",(VLOOKUP(O2,件番!$A$10:$D$113,3,FALSE)))</f>
        <v/>
      </c>
      <c r="P4" s="13" t="str">
        <f>IF(ISERROR(VLOOKUP(P2,件番!$A$10:$D$113,2,FALSE)),"",(VLOOKUP(P2,件番!$A$10:$D$113,3,FALSE)))</f>
        <v/>
      </c>
      <c r="Q4" s="13"/>
      <c r="R4" s="13"/>
      <c r="S4" s="13" t="str">
        <f>IF(ISERROR(VLOOKUP(S2,件番!$A$3:$D$113,2,FALSE)),"",(VLOOKUP(S2,件番!$A$3:$D$113,3,FALSE)))</f>
        <v>関東交通整備</v>
      </c>
      <c r="T4" s="13"/>
      <c r="U4" s="13"/>
    </row>
    <row r="5" spans="2:29" ht="18" customHeight="1" x14ac:dyDescent="0.2">
      <c r="B5" s="14" t="s">
        <v>9</v>
      </c>
      <c r="C5" s="14"/>
      <c r="D5" s="13" t="str">
        <f>IF(ISERROR(VLOOKUP(D2,件番!$A$10:$D$113,2,FALSE)),"",(VLOOKUP(D2,件番!$A$10:$D$113,4,FALSE)))</f>
        <v/>
      </c>
      <c r="E5" s="13" t="str">
        <f>IF(ISERROR(VLOOKUP(E2,件番!$A$10:$D$113,2,FALSE)),"",(VLOOKUP(E2,件番!$A$10:$D$113,4,FALSE)))</f>
        <v/>
      </c>
      <c r="F5" s="13" t="str">
        <f>IF(ISERROR(VLOOKUP(F2,件番!$A$10:$D$113,2,FALSE)),"",(VLOOKUP(F2,件番!$A$10:$D$113,4,FALSE)))</f>
        <v/>
      </c>
      <c r="G5" s="13" t="str">
        <f>IF(ISERROR(VLOOKUP(G2,件番!$A$10:$D$113,2,FALSE)),"",(VLOOKUP(G2,件番!$A$10:$D$113,4,FALSE)))</f>
        <v/>
      </c>
      <c r="H5" s="13" t="str">
        <f>IF(ISERROR(VLOOKUP(H2,件番!$A$10:$D$113,2,FALSE)),"",(VLOOKUP(H2,件番!$A$10:$D$113,4,FALSE)))</f>
        <v/>
      </c>
      <c r="I5" s="13" t="str">
        <f>IF(ISERROR(VLOOKUP(I2,件番!$A$10:$D$113,2,FALSE)),"",(VLOOKUP(I2,件番!$A$10:$D$113,4,FALSE)))</f>
        <v/>
      </c>
      <c r="J5" s="13" t="str">
        <f>IF(ISERROR(VLOOKUP(J2,件番!$A$10:$D$113,2,FALSE)),"",(VLOOKUP(J2,件番!$A$10:$D$113,4,FALSE)))</f>
        <v/>
      </c>
      <c r="K5" s="13" t="str">
        <f>IF(ISERROR(VLOOKUP(K2,件番!$A$10:$D$113,2,FALSE)),"",(VLOOKUP(K2,件番!$A$10:$D$113,4,FALSE)))</f>
        <v/>
      </c>
      <c r="L5" s="13" t="str">
        <f>IF(ISERROR(VLOOKUP(L2,件番!$A$10:$D$113,2,FALSE)),"",(VLOOKUP(L2,件番!$A$10:$D$113,4,FALSE)))</f>
        <v/>
      </c>
      <c r="M5" s="13" t="str">
        <f>IF(ISERROR(VLOOKUP(M2,件番!$A$10:$D$113,2,FALSE)),"",(VLOOKUP(M2,件番!$A$10:$D$113,4,FALSE)))</f>
        <v/>
      </c>
      <c r="N5" s="13" t="str">
        <f>IF(ISERROR(VLOOKUP(N2,件番!$A$10:$D$113,2,FALSE)),"",(VLOOKUP(N2,件番!$A$10:$D$113,4,FALSE)))</f>
        <v/>
      </c>
      <c r="O5" s="13" t="str">
        <f>IF(ISERROR(VLOOKUP(O2,件番!$A$10:$D$113,2,FALSE)),"",(VLOOKUP(O2,件番!$A$10:$D$113,4,FALSE)))</f>
        <v/>
      </c>
      <c r="P5" s="13" t="str">
        <f>IF(ISERROR(VLOOKUP(P2,件番!$A$10:$D$113,2,FALSE)),"",(VLOOKUP(P2,件番!$A$10:$D$113,4,FALSE)))</f>
        <v/>
      </c>
      <c r="Q5" s="13"/>
      <c r="R5" s="13"/>
      <c r="S5" s="13">
        <f>IF(ISERROR(VLOOKUP(S2,件番!$A$3:$D$113,2,FALSE)),"",(VLOOKUP(S2,件番!$A$3:$D$113,4,FALSE)))</f>
        <v>0</v>
      </c>
      <c r="T5" s="13" t="s">
        <v>0</v>
      </c>
      <c r="U5" s="13" t="s">
        <v>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</row>
    <row r="6" spans="2:29" x14ac:dyDescent="0.2">
      <c r="B6" s="17">
        <v>46447</v>
      </c>
      <c r="C6" s="18" t="str">
        <f>TEXT(B6,"aaa")</f>
        <v>月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>
        <f t="shared" ref="T6:T36" si="0">SUM(D6:S6)</f>
        <v>0</v>
      </c>
      <c r="U6" s="39"/>
      <c r="V6" s="2">
        <v>0.375</v>
      </c>
      <c r="W6" s="2">
        <v>0.72916666666666663</v>
      </c>
      <c r="X6" s="2">
        <v>5.2083333333333336E-2</v>
      </c>
      <c r="Y6" s="20">
        <f t="shared" ref="Y6:Y10" si="1">(W6-V6-X6)*24</f>
        <v>7.25</v>
      </c>
      <c r="Z6" s="21">
        <f t="shared" ref="Z6:Z10" si="2">Y6-T6</f>
        <v>7.25</v>
      </c>
      <c r="AA6" s="21">
        <f t="shared" ref="AA6:AA10" si="3">AC6-AB6</f>
        <v>0</v>
      </c>
      <c r="AB6" s="20">
        <v>7.25</v>
      </c>
      <c r="AC6">
        <f t="shared" ref="AC6:AC10" si="4">ABS(Y6)</f>
        <v>7.25</v>
      </c>
    </row>
    <row r="7" spans="2:29" x14ac:dyDescent="0.2">
      <c r="B7" s="17">
        <v>46448</v>
      </c>
      <c r="C7" s="18" t="str">
        <f t="shared" ref="C7:C36" si="5">TEXT(B7,"aaa")</f>
        <v>火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">
        <f t="shared" si="0"/>
        <v>0</v>
      </c>
      <c r="U7" s="39"/>
      <c r="V7" s="2">
        <v>0.375</v>
      </c>
      <c r="W7" s="2">
        <v>0.72916666666666663</v>
      </c>
      <c r="X7" s="2">
        <v>5.2083333333333336E-2</v>
      </c>
      <c r="Y7" s="20">
        <f t="shared" si="1"/>
        <v>7.25</v>
      </c>
      <c r="Z7" s="21">
        <f t="shared" si="2"/>
        <v>7.25</v>
      </c>
      <c r="AA7" s="21">
        <f t="shared" si="3"/>
        <v>0</v>
      </c>
      <c r="AB7" s="20">
        <v>7.25</v>
      </c>
      <c r="AC7">
        <f t="shared" si="4"/>
        <v>7.25</v>
      </c>
    </row>
    <row r="8" spans="2:29" x14ac:dyDescent="0.2">
      <c r="B8" s="17">
        <v>46449</v>
      </c>
      <c r="C8" s="18" t="str">
        <f t="shared" si="5"/>
        <v>水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">
        <f t="shared" si="0"/>
        <v>0</v>
      </c>
      <c r="U8" s="39"/>
      <c r="V8" s="2">
        <v>0.375</v>
      </c>
      <c r="W8" s="2">
        <v>0.72916666666666663</v>
      </c>
      <c r="X8" s="2">
        <v>5.2083333333333336E-2</v>
      </c>
      <c r="Y8" s="20">
        <f t="shared" si="1"/>
        <v>7.25</v>
      </c>
      <c r="Z8" s="21">
        <f t="shared" si="2"/>
        <v>7.25</v>
      </c>
      <c r="AA8" s="21">
        <f t="shared" si="3"/>
        <v>0</v>
      </c>
      <c r="AB8" s="20">
        <v>7.25</v>
      </c>
      <c r="AC8">
        <f t="shared" si="4"/>
        <v>7.25</v>
      </c>
    </row>
    <row r="9" spans="2:29" x14ac:dyDescent="0.2">
      <c r="B9" s="17">
        <v>46450</v>
      </c>
      <c r="C9" s="18" t="str">
        <f t="shared" si="5"/>
        <v>木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">
        <f t="shared" si="0"/>
        <v>0</v>
      </c>
      <c r="U9" s="19"/>
      <c r="V9" s="2">
        <v>0.375</v>
      </c>
      <c r="W9" s="2">
        <v>0.72916666666666663</v>
      </c>
      <c r="X9" s="2">
        <v>5.2083333333333336E-2</v>
      </c>
      <c r="Y9" s="20">
        <f t="shared" si="1"/>
        <v>7.25</v>
      </c>
      <c r="Z9" s="21">
        <f t="shared" si="2"/>
        <v>7.25</v>
      </c>
      <c r="AA9" s="21">
        <f t="shared" si="3"/>
        <v>0</v>
      </c>
      <c r="AB9" s="20">
        <v>7.25</v>
      </c>
      <c r="AC9">
        <f t="shared" si="4"/>
        <v>7.25</v>
      </c>
    </row>
    <row r="10" spans="2:29" x14ac:dyDescent="0.2">
      <c r="B10" s="17">
        <v>46451</v>
      </c>
      <c r="C10" s="18" t="str">
        <f t="shared" si="5"/>
        <v>金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">
        <f t="shared" si="0"/>
        <v>0</v>
      </c>
      <c r="U10" s="44"/>
      <c r="V10" s="2">
        <v>0.375</v>
      </c>
      <c r="W10" s="2">
        <v>0.72916666666666663</v>
      </c>
      <c r="X10" s="2">
        <v>5.2083333333333336E-2</v>
      </c>
      <c r="Y10" s="20">
        <f t="shared" si="1"/>
        <v>7.25</v>
      </c>
      <c r="Z10" s="21">
        <f t="shared" si="2"/>
        <v>7.25</v>
      </c>
      <c r="AA10" s="21">
        <f t="shared" si="3"/>
        <v>0</v>
      </c>
      <c r="AB10" s="20">
        <v>7.25</v>
      </c>
      <c r="AC10">
        <f t="shared" si="4"/>
        <v>7.25</v>
      </c>
    </row>
    <row r="11" spans="2:29" x14ac:dyDescent="0.2">
      <c r="B11" s="17">
        <v>46452</v>
      </c>
      <c r="C11" s="18" t="str">
        <f t="shared" si="5"/>
        <v>土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">
        <f t="shared" si="0"/>
        <v>0</v>
      </c>
      <c r="U11" s="19"/>
      <c r="V11" s="2"/>
      <c r="W11" s="2"/>
      <c r="X11" s="2"/>
      <c r="Y11" s="20">
        <f t="shared" ref="Y11:Y36" si="6">(W11-V11-X11)*24</f>
        <v>0</v>
      </c>
      <c r="Z11" s="21">
        <f t="shared" ref="Z11:Z36" si="7">Y11-T11</f>
        <v>0</v>
      </c>
      <c r="AA11" s="21"/>
      <c r="AB11" s="20"/>
    </row>
    <row r="12" spans="2:29" x14ac:dyDescent="0.2">
      <c r="B12" s="17">
        <v>46453</v>
      </c>
      <c r="C12" s="18" t="str">
        <f t="shared" si="5"/>
        <v>日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">
        <f t="shared" si="0"/>
        <v>0</v>
      </c>
      <c r="U12" s="19"/>
      <c r="V12" s="2"/>
      <c r="W12" s="2"/>
      <c r="X12" s="2"/>
      <c r="Y12" s="20">
        <f t="shared" si="6"/>
        <v>0</v>
      </c>
      <c r="Z12" s="21">
        <f t="shared" si="7"/>
        <v>0</v>
      </c>
      <c r="AA12" s="21"/>
      <c r="AB12" s="20"/>
    </row>
    <row r="13" spans="2:29" x14ac:dyDescent="0.2">
      <c r="B13" s="17">
        <v>46454</v>
      </c>
      <c r="C13" s="18" t="str">
        <f t="shared" si="5"/>
        <v>月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">
        <f t="shared" si="0"/>
        <v>0</v>
      </c>
      <c r="U13" s="19"/>
      <c r="V13" s="2">
        <v>0.375</v>
      </c>
      <c r="W13" s="2">
        <v>0.72916666666666663</v>
      </c>
      <c r="X13" s="2">
        <v>5.2083333333333336E-2</v>
      </c>
      <c r="Y13" s="20">
        <f t="shared" si="6"/>
        <v>7.25</v>
      </c>
      <c r="Z13" s="21">
        <f t="shared" si="7"/>
        <v>7.25</v>
      </c>
      <c r="AA13" s="21">
        <f t="shared" ref="AA13:AA17" si="8">AC13-AB13</f>
        <v>0</v>
      </c>
      <c r="AB13" s="20">
        <v>7.25</v>
      </c>
      <c r="AC13">
        <f t="shared" ref="AC13:AC17" si="9">ABS(Y13)</f>
        <v>7.25</v>
      </c>
    </row>
    <row r="14" spans="2:29" x14ac:dyDescent="0.2">
      <c r="B14" s="17">
        <v>46455</v>
      </c>
      <c r="C14" s="18" t="str">
        <f t="shared" si="5"/>
        <v>火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>
        <f t="shared" si="0"/>
        <v>0</v>
      </c>
      <c r="U14" s="39"/>
      <c r="V14" s="2">
        <v>0.375</v>
      </c>
      <c r="W14" s="2">
        <v>0.72916666666666663</v>
      </c>
      <c r="X14" s="2">
        <v>5.2083333333333336E-2</v>
      </c>
      <c r="Y14" s="20">
        <f t="shared" si="6"/>
        <v>7.25</v>
      </c>
      <c r="Z14" s="21">
        <f t="shared" si="7"/>
        <v>7.25</v>
      </c>
      <c r="AA14" s="21">
        <f t="shared" si="8"/>
        <v>0</v>
      </c>
      <c r="AB14" s="20">
        <v>7.25</v>
      </c>
      <c r="AC14">
        <f t="shared" si="9"/>
        <v>7.25</v>
      </c>
    </row>
    <row r="15" spans="2:29" x14ac:dyDescent="0.2">
      <c r="B15" s="17">
        <v>46456</v>
      </c>
      <c r="C15" s="18" t="str">
        <f t="shared" si="5"/>
        <v>水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">
        <f t="shared" si="0"/>
        <v>0</v>
      </c>
      <c r="U15" s="19"/>
      <c r="V15" s="2">
        <v>0.375</v>
      </c>
      <c r="W15" s="2">
        <v>0.72916666666666663</v>
      </c>
      <c r="X15" s="2">
        <v>5.2083333333333336E-2</v>
      </c>
      <c r="Y15" s="20">
        <f t="shared" si="6"/>
        <v>7.25</v>
      </c>
      <c r="Z15" s="21">
        <f t="shared" si="7"/>
        <v>7.25</v>
      </c>
      <c r="AA15" s="21">
        <f t="shared" si="8"/>
        <v>0</v>
      </c>
      <c r="AB15" s="20">
        <v>7.25</v>
      </c>
      <c r="AC15">
        <f t="shared" si="9"/>
        <v>7.25</v>
      </c>
    </row>
    <row r="16" spans="2:29" x14ac:dyDescent="0.2">
      <c r="B16" s="17">
        <v>46457</v>
      </c>
      <c r="C16" s="18" t="str">
        <f t="shared" si="5"/>
        <v>木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>
        <f t="shared" si="0"/>
        <v>0</v>
      </c>
      <c r="U16" s="19"/>
      <c r="V16" s="2">
        <v>0.375</v>
      </c>
      <c r="W16" s="2">
        <v>0.72916666666666663</v>
      </c>
      <c r="X16" s="2">
        <v>5.2083333333333336E-2</v>
      </c>
      <c r="Y16" s="20">
        <f t="shared" si="6"/>
        <v>7.25</v>
      </c>
      <c r="Z16" s="21">
        <f t="shared" si="7"/>
        <v>7.25</v>
      </c>
      <c r="AA16" s="21">
        <f t="shared" si="8"/>
        <v>0</v>
      </c>
      <c r="AB16" s="20">
        <v>7.25</v>
      </c>
      <c r="AC16">
        <f t="shared" si="9"/>
        <v>7.25</v>
      </c>
    </row>
    <row r="17" spans="2:29" x14ac:dyDescent="0.2">
      <c r="B17" s="17">
        <v>46458</v>
      </c>
      <c r="C17" s="18" t="str">
        <f t="shared" si="5"/>
        <v>金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">
        <f t="shared" si="0"/>
        <v>0</v>
      </c>
      <c r="U17" s="41"/>
      <c r="V17" s="2">
        <v>0.375</v>
      </c>
      <c r="W17" s="2">
        <v>0.72916666666666663</v>
      </c>
      <c r="X17" s="2">
        <v>5.2083333333333336E-2</v>
      </c>
      <c r="Y17" s="20">
        <f t="shared" si="6"/>
        <v>7.25</v>
      </c>
      <c r="Z17" s="21">
        <f t="shared" si="7"/>
        <v>7.25</v>
      </c>
      <c r="AA17" s="21">
        <f t="shared" si="8"/>
        <v>0</v>
      </c>
      <c r="AB17" s="20">
        <v>7.25</v>
      </c>
      <c r="AC17">
        <f t="shared" si="9"/>
        <v>7.25</v>
      </c>
    </row>
    <row r="18" spans="2:29" x14ac:dyDescent="0.2">
      <c r="B18" s="17">
        <v>46459</v>
      </c>
      <c r="C18" s="18" t="str">
        <f t="shared" si="5"/>
        <v>土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>
        <f t="shared" si="0"/>
        <v>0</v>
      </c>
      <c r="U18" s="41"/>
      <c r="V18" s="2"/>
      <c r="W18" s="2"/>
      <c r="X18" s="2"/>
      <c r="Y18" s="20">
        <f t="shared" si="6"/>
        <v>0</v>
      </c>
      <c r="Z18" s="21">
        <f t="shared" si="7"/>
        <v>0</v>
      </c>
      <c r="AA18" s="21"/>
      <c r="AB18" s="20"/>
    </row>
    <row r="19" spans="2:29" x14ac:dyDescent="0.2">
      <c r="B19" s="17">
        <v>46460</v>
      </c>
      <c r="C19" s="18" t="str">
        <f t="shared" si="5"/>
        <v>日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">
        <f t="shared" si="0"/>
        <v>0</v>
      </c>
      <c r="U19" s="44"/>
      <c r="V19" s="2"/>
      <c r="W19" s="2"/>
      <c r="X19" s="2"/>
      <c r="Y19" s="20">
        <f t="shared" si="6"/>
        <v>0</v>
      </c>
      <c r="Z19" s="21">
        <f t="shared" si="7"/>
        <v>0</v>
      </c>
      <c r="AA19" s="21"/>
      <c r="AB19" s="20"/>
    </row>
    <row r="20" spans="2:29" x14ac:dyDescent="0.2">
      <c r="B20" s="17">
        <v>46461</v>
      </c>
      <c r="C20" s="18" t="str">
        <f t="shared" si="5"/>
        <v>月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">
        <f t="shared" si="0"/>
        <v>0</v>
      </c>
      <c r="U20" s="39"/>
      <c r="V20" s="2">
        <v>0.375</v>
      </c>
      <c r="W20" s="2">
        <v>0.72916666666666663</v>
      </c>
      <c r="X20" s="2">
        <v>5.2083333333333336E-2</v>
      </c>
      <c r="Y20" s="20">
        <f t="shared" si="6"/>
        <v>7.25</v>
      </c>
      <c r="Z20" s="21">
        <f t="shared" si="7"/>
        <v>7.25</v>
      </c>
      <c r="AA20" s="21">
        <f t="shared" ref="AA20:AA24" si="10">AC20-AB20</f>
        <v>0</v>
      </c>
      <c r="AB20" s="20">
        <v>7.25</v>
      </c>
      <c r="AC20">
        <f t="shared" ref="AC20:AC24" si="11">ABS(Y20)</f>
        <v>7.25</v>
      </c>
    </row>
    <row r="21" spans="2:29" x14ac:dyDescent="0.2">
      <c r="B21" s="17">
        <v>46462</v>
      </c>
      <c r="C21" s="18" t="str">
        <f t="shared" si="5"/>
        <v>火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">
        <f t="shared" si="0"/>
        <v>0</v>
      </c>
      <c r="U21" s="44"/>
      <c r="V21" s="2">
        <v>0.375</v>
      </c>
      <c r="W21" s="2">
        <v>0.72916666666666663</v>
      </c>
      <c r="X21" s="2">
        <v>5.2083333333333336E-2</v>
      </c>
      <c r="Y21" s="20">
        <f t="shared" si="6"/>
        <v>7.25</v>
      </c>
      <c r="Z21" s="21">
        <f t="shared" si="7"/>
        <v>7.25</v>
      </c>
      <c r="AA21" s="21">
        <f t="shared" si="10"/>
        <v>0</v>
      </c>
      <c r="AB21" s="20">
        <v>7.25</v>
      </c>
      <c r="AC21">
        <f t="shared" si="11"/>
        <v>7.25</v>
      </c>
    </row>
    <row r="22" spans="2:29" x14ac:dyDescent="0.2">
      <c r="B22" s="17">
        <v>46463</v>
      </c>
      <c r="C22" s="18" t="str">
        <f t="shared" si="5"/>
        <v>水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">
        <f t="shared" si="0"/>
        <v>0</v>
      </c>
      <c r="U22" s="19"/>
      <c r="V22" s="2">
        <v>0.375</v>
      </c>
      <c r="W22" s="2">
        <v>0.72916666666666663</v>
      </c>
      <c r="X22" s="2">
        <v>5.2083333333333336E-2</v>
      </c>
      <c r="Y22" s="20">
        <f t="shared" si="6"/>
        <v>7.25</v>
      </c>
      <c r="Z22" s="21">
        <f t="shared" si="7"/>
        <v>7.25</v>
      </c>
      <c r="AA22" s="21">
        <f t="shared" si="10"/>
        <v>0</v>
      </c>
      <c r="AB22" s="20">
        <v>7.25</v>
      </c>
      <c r="AC22">
        <f t="shared" si="11"/>
        <v>7.25</v>
      </c>
    </row>
    <row r="23" spans="2:29" x14ac:dyDescent="0.2">
      <c r="B23" s="17">
        <v>46464</v>
      </c>
      <c r="C23" s="18" t="str">
        <f t="shared" si="5"/>
        <v>木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">
        <f t="shared" si="0"/>
        <v>0</v>
      </c>
      <c r="U23" s="41"/>
      <c r="V23" s="2">
        <v>0.375</v>
      </c>
      <c r="W23" s="2">
        <v>0.72916666666666663</v>
      </c>
      <c r="X23" s="2">
        <v>5.2083333333333336E-2</v>
      </c>
      <c r="Y23" s="20">
        <f t="shared" si="6"/>
        <v>7.25</v>
      </c>
      <c r="Z23" s="21">
        <f t="shared" si="7"/>
        <v>7.25</v>
      </c>
      <c r="AA23" s="21">
        <f t="shared" si="10"/>
        <v>0</v>
      </c>
      <c r="AB23" s="20">
        <v>7.25</v>
      </c>
      <c r="AC23">
        <f t="shared" si="11"/>
        <v>7.25</v>
      </c>
    </row>
    <row r="24" spans="2:29" x14ac:dyDescent="0.2">
      <c r="B24" s="17">
        <v>46465</v>
      </c>
      <c r="C24" s="18" t="str">
        <f t="shared" si="5"/>
        <v>金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">
        <f t="shared" si="0"/>
        <v>0</v>
      </c>
      <c r="U24" s="19"/>
      <c r="V24" s="2">
        <v>0.375</v>
      </c>
      <c r="W24" s="2">
        <v>0.72916666666666663</v>
      </c>
      <c r="X24" s="2">
        <v>5.2083333333333336E-2</v>
      </c>
      <c r="Y24" s="20">
        <f t="shared" si="6"/>
        <v>7.25</v>
      </c>
      <c r="Z24" s="21">
        <f t="shared" si="7"/>
        <v>7.25</v>
      </c>
      <c r="AA24" s="21">
        <f t="shared" si="10"/>
        <v>0</v>
      </c>
      <c r="AB24" s="20">
        <v>7.25</v>
      </c>
      <c r="AC24">
        <f t="shared" si="11"/>
        <v>7.25</v>
      </c>
    </row>
    <row r="25" spans="2:29" x14ac:dyDescent="0.2">
      <c r="B25" s="17">
        <v>46466</v>
      </c>
      <c r="C25" s="18" t="str">
        <f t="shared" si="5"/>
        <v>土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">
        <f t="shared" si="0"/>
        <v>0</v>
      </c>
      <c r="U25" s="39"/>
      <c r="V25" s="2"/>
      <c r="W25" s="2"/>
      <c r="X25" s="2"/>
      <c r="Y25" s="20">
        <f t="shared" si="6"/>
        <v>0</v>
      </c>
      <c r="Z25" s="21">
        <f t="shared" si="7"/>
        <v>0</v>
      </c>
      <c r="AA25" s="21"/>
      <c r="AB25" s="20"/>
    </row>
    <row r="26" spans="2:29" x14ac:dyDescent="0.2">
      <c r="B26" s="17">
        <v>46467</v>
      </c>
      <c r="C26" s="18" t="str">
        <f t="shared" si="5"/>
        <v>日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">
        <f t="shared" si="0"/>
        <v>0</v>
      </c>
      <c r="U26" s="39"/>
      <c r="V26" s="2"/>
      <c r="W26" s="2"/>
      <c r="X26" s="2"/>
      <c r="Y26" s="20">
        <f t="shared" si="6"/>
        <v>0</v>
      </c>
      <c r="Z26" s="21">
        <f t="shared" si="7"/>
        <v>0</v>
      </c>
      <c r="AA26" s="21"/>
      <c r="AB26" s="20"/>
    </row>
    <row r="27" spans="2:29" x14ac:dyDescent="0.2">
      <c r="B27" s="17">
        <v>46468</v>
      </c>
      <c r="C27" s="18" t="str">
        <f t="shared" si="5"/>
        <v>月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">
        <f t="shared" si="0"/>
        <v>0</v>
      </c>
      <c r="U27" s="39" t="s">
        <v>30</v>
      </c>
      <c r="V27" s="2"/>
      <c r="W27" s="2"/>
      <c r="X27" s="2"/>
      <c r="Y27" s="20">
        <f t="shared" si="6"/>
        <v>0</v>
      </c>
      <c r="Z27" s="21">
        <f t="shared" si="7"/>
        <v>0</v>
      </c>
      <c r="AA27" s="21"/>
      <c r="AB27" s="20"/>
    </row>
    <row r="28" spans="2:29" x14ac:dyDescent="0.2">
      <c r="B28" s="17">
        <v>46469</v>
      </c>
      <c r="C28" s="18" t="str">
        <f t="shared" si="5"/>
        <v>火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>
        <f t="shared" si="0"/>
        <v>0</v>
      </c>
      <c r="U28" s="39"/>
      <c r="V28" s="2">
        <v>0.375</v>
      </c>
      <c r="W28" s="2">
        <v>0.72916666666666663</v>
      </c>
      <c r="X28" s="2">
        <v>5.2083333333333336E-2</v>
      </c>
      <c r="Y28" s="20">
        <f t="shared" si="6"/>
        <v>7.25</v>
      </c>
      <c r="Z28" s="21">
        <f t="shared" si="7"/>
        <v>7.25</v>
      </c>
      <c r="AA28" s="21">
        <f t="shared" ref="AA28:AA31" si="12">AC28-AB28</f>
        <v>0</v>
      </c>
      <c r="AB28" s="20">
        <v>7.25</v>
      </c>
      <c r="AC28">
        <f t="shared" ref="AC28:AC31" si="13">ABS(Y28)</f>
        <v>7.25</v>
      </c>
    </row>
    <row r="29" spans="2:29" x14ac:dyDescent="0.2">
      <c r="B29" s="17">
        <v>46470</v>
      </c>
      <c r="C29" s="18" t="str">
        <f t="shared" si="5"/>
        <v>水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">
        <f t="shared" si="0"/>
        <v>0</v>
      </c>
      <c r="U29" s="19"/>
      <c r="V29" s="2">
        <v>0.375</v>
      </c>
      <c r="W29" s="2">
        <v>0.72916666666666663</v>
      </c>
      <c r="X29" s="2">
        <v>5.2083333333333336E-2</v>
      </c>
      <c r="Y29" s="20">
        <f t="shared" si="6"/>
        <v>7.25</v>
      </c>
      <c r="Z29" s="21">
        <f t="shared" si="7"/>
        <v>7.25</v>
      </c>
      <c r="AA29" s="21">
        <f t="shared" si="12"/>
        <v>0</v>
      </c>
      <c r="AB29" s="20">
        <v>7.25</v>
      </c>
      <c r="AC29">
        <f t="shared" si="13"/>
        <v>7.25</v>
      </c>
    </row>
    <row r="30" spans="2:29" x14ac:dyDescent="0.2">
      <c r="B30" s="17">
        <v>46471</v>
      </c>
      <c r="C30" s="18" t="str">
        <f t="shared" si="5"/>
        <v>木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>
        <f t="shared" si="0"/>
        <v>0</v>
      </c>
      <c r="U30" s="45"/>
      <c r="V30" s="2">
        <v>0.375</v>
      </c>
      <c r="W30" s="2">
        <v>0.72916666666666663</v>
      </c>
      <c r="X30" s="2">
        <v>5.2083333333333336E-2</v>
      </c>
      <c r="Y30" s="20">
        <f t="shared" si="6"/>
        <v>7.25</v>
      </c>
      <c r="Z30" s="21">
        <f t="shared" si="7"/>
        <v>7.25</v>
      </c>
      <c r="AA30" s="21">
        <f t="shared" si="12"/>
        <v>0</v>
      </c>
      <c r="AB30" s="20">
        <v>7.25</v>
      </c>
      <c r="AC30">
        <f t="shared" si="13"/>
        <v>7.25</v>
      </c>
    </row>
    <row r="31" spans="2:29" x14ac:dyDescent="0.2">
      <c r="B31" s="17">
        <v>46472</v>
      </c>
      <c r="C31" s="18" t="str">
        <f t="shared" si="5"/>
        <v>金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">
        <f t="shared" si="0"/>
        <v>0</v>
      </c>
      <c r="U31" s="19"/>
      <c r="V31" s="2">
        <v>0.375</v>
      </c>
      <c r="W31" s="2">
        <v>0.72916666666666663</v>
      </c>
      <c r="X31" s="2">
        <v>5.2083333333333336E-2</v>
      </c>
      <c r="Y31" s="20">
        <f t="shared" si="6"/>
        <v>7.25</v>
      </c>
      <c r="Z31" s="21">
        <f t="shared" si="7"/>
        <v>7.25</v>
      </c>
      <c r="AA31" s="21">
        <f t="shared" si="12"/>
        <v>0</v>
      </c>
      <c r="AB31" s="20">
        <v>7.25</v>
      </c>
      <c r="AC31">
        <f t="shared" si="13"/>
        <v>7.25</v>
      </c>
    </row>
    <row r="32" spans="2:29" x14ac:dyDescent="0.2">
      <c r="B32" s="17">
        <v>46473</v>
      </c>
      <c r="C32" s="18" t="str">
        <f t="shared" si="5"/>
        <v>土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">
        <f t="shared" si="0"/>
        <v>0</v>
      </c>
      <c r="U32" s="19"/>
      <c r="V32" s="2"/>
      <c r="W32" s="2"/>
      <c r="X32" s="2"/>
      <c r="Y32" s="20">
        <f t="shared" si="6"/>
        <v>0</v>
      </c>
      <c r="Z32" s="21">
        <f t="shared" si="7"/>
        <v>0</v>
      </c>
      <c r="AA32" s="21"/>
      <c r="AB32" s="20"/>
    </row>
    <row r="33" spans="2:29" x14ac:dyDescent="0.2">
      <c r="B33" s="17">
        <v>46474</v>
      </c>
      <c r="C33" s="18" t="str">
        <f t="shared" si="5"/>
        <v>日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">
        <f t="shared" si="0"/>
        <v>0</v>
      </c>
      <c r="U33" s="19"/>
      <c r="V33" s="2"/>
      <c r="W33" s="2"/>
      <c r="X33" s="2"/>
      <c r="Y33" s="20">
        <f t="shared" si="6"/>
        <v>0</v>
      </c>
      <c r="Z33" s="21">
        <f t="shared" si="7"/>
        <v>0</v>
      </c>
      <c r="AA33" s="21"/>
      <c r="AB33" s="20"/>
    </row>
    <row r="34" spans="2:29" x14ac:dyDescent="0.2">
      <c r="B34" s="17">
        <v>46475</v>
      </c>
      <c r="C34" s="18" t="str">
        <f t="shared" si="5"/>
        <v>月</v>
      </c>
      <c r="D34" s="19"/>
      <c r="E34" s="19"/>
      <c r="F34" s="19"/>
      <c r="G34" s="19"/>
      <c r="H34" s="3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">
        <f t="shared" si="0"/>
        <v>0</v>
      </c>
      <c r="U34" s="44"/>
      <c r="V34" s="2">
        <v>0.375</v>
      </c>
      <c r="W34" s="2">
        <v>0.72916666666666663</v>
      </c>
      <c r="X34" s="2">
        <v>5.2083333333333336E-2</v>
      </c>
      <c r="Y34" s="20">
        <f t="shared" si="6"/>
        <v>7.25</v>
      </c>
      <c r="Z34" s="21">
        <f t="shared" si="7"/>
        <v>7.25</v>
      </c>
      <c r="AA34" s="21">
        <f t="shared" ref="AA34:AA36" si="14">AC34-AB34</f>
        <v>0</v>
      </c>
      <c r="AB34" s="20">
        <v>7.25</v>
      </c>
      <c r="AC34">
        <f t="shared" ref="AC34:AC36" si="15">ABS(Y34)</f>
        <v>7.25</v>
      </c>
    </row>
    <row r="35" spans="2:29" x14ac:dyDescent="0.2">
      <c r="B35" s="17">
        <v>46476</v>
      </c>
      <c r="C35" s="18" t="str">
        <f t="shared" si="5"/>
        <v>火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">
        <f t="shared" si="0"/>
        <v>0</v>
      </c>
      <c r="U35" s="41"/>
      <c r="V35" s="2">
        <v>0.375</v>
      </c>
      <c r="W35" s="2">
        <v>0.72916666666666663</v>
      </c>
      <c r="X35" s="2">
        <v>5.2083333333333336E-2</v>
      </c>
      <c r="Y35" s="20">
        <f t="shared" si="6"/>
        <v>7.25</v>
      </c>
      <c r="Z35" s="21">
        <f t="shared" si="7"/>
        <v>7.25</v>
      </c>
      <c r="AA35" s="21">
        <f t="shared" si="14"/>
        <v>0</v>
      </c>
      <c r="AB35" s="20">
        <v>7.25</v>
      </c>
      <c r="AC35">
        <f t="shared" si="15"/>
        <v>7.25</v>
      </c>
    </row>
    <row r="36" spans="2:29" ht="13.8" thickBot="1" x14ac:dyDescent="0.25">
      <c r="B36" s="25">
        <v>46477</v>
      </c>
      <c r="C36" s="26" t="str">
        <f t="shared" si="5"/>
        <v>水</v>
      </c>
      <c r="D36" s="27"/>
      <c r="E36" s="27"/>
      <c r="F36" s="27"/>
      <c r="G36" s="27"/>
      <c r="H36" s="46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>
        <f t="shared" si="0"/>
        <v>0</v>
      </c>
      <c r="U36" s="27"/>
      <c r="V36" s="2">
        <v>0.375</v>
      </c>
      <c r="W36" s="2">
        <v>0.72916666666666663</v>
      </c>
      <c r="X36" s="2">
        <v>5.2083333333333336E-2</v>
      </c>
      <c r="Y36" s="20">
        <f t="shared" si="6"/>
        <v>7.25</v>
      </c>
      <c r="Z36" s="21">
        <f t="shared" si="7"/>
        <v>7.25</v>
      </c>
      <c r="AA36" s="21">
        <f t="shared" si="14"/>
        <v>0</v>
      </c>
      <c r="AB36" s="20">
        <v>7.25</v>
      </c>
      <c r="AC36">
        <f t="shared" si="15"/>
        <v>7.25</v>
      </c>
    </row>
    <row r="37" spans="2:29" ht="13.8" thickTop="1" x14ac:dyDescent="0.2">
      <c r="B37" s="29" t="s">
        <v>21</v>
      </c>
      <c r="C37" s="31" t="s">
        <v>0</v>
      </c>
      <c r="D37" s="22">
        <f>SUM(D6:D36)</f>
        <v>0</v>
      </c>
      <c r="E37" s="22">
        <f t="shared" ref="E37:T37" si="16">SUM(E6:E36)</f>
        <v>0</v>
      </c>
      <c r="F37" s="22">
        <f t="shared" si="16"/>
        <v>0</v>
      </c>
      <c r="G37" s="22">
        <f t="shared" si="16"/>
        <v>0</v>
      </c>
      <c r="H37" s="22">
        <f t="shared" si="16"/>
        <v>0</v>
      </c>
      <c r="I37" s="22">
        <f t="shared" si="16"/>
        <v>0</v>
      </c>
      <c r="J37" s="22">
        <f t="shared" si="16"/>
        <v>0</v>
      </c>
      <c r="K37" s="22">
        <f t="shared" si="16"/>
        <v>0</v>
      </c>
      <c r="L37" s="22">
        <f t="shared" si="16"/>
        <v>0</v>
      </c>
      <c r="M37" s="22">
        <f t="shared" si="16"/>
        <v>0</v>
      </c>
      <c r="N37" s="22">
        <f t="shared" si="16"/>
        <v>0</v>
      </c>
      <c r="O37" s="22">
        <f t="shared" si="16"/>
        <v>0</v>
      </c>
      <c r="P37" s="22">
        <f>SUM(P6:P36)</f>
        <v>0</v>
      </c>
      <c r="Q37" s="22">
        <f>SUM(Q6:Q36)</f>
        <v>0</v>
      </c>
      <c r="R37" s="22">
        <f>SUM(R6:R36)</f>
        <v>0</v>
      </c>
      <c r="S37" s="22">
        <f t="shared" si="16"/>
        <v>0</v>
      </c>
      <c r="T37" s="23">
        <f t="shared" si="16"/>
        <v>0</v>
      </c>
      <c r="U37" s="24"/>
      <c r="V37" s="2"/>
      <c r="AA37" s="21">
        <f>SUM(AA6:AA36)</f>
        <v>0</v>
      </c>
      <c r="AB37" s="21">
        <f>SUM(AB6:AB36)</f>
        <v>159.5</v>
      </c>
    </row>
    <row r="38" spans="2:29" x14ac:dyDescent="0.2">
      <c r="B38" s="30"/>
      <c r="C38" s="3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4"/>
      <c r="V38" s="2"/>
    </row>
    <row r="40" spans="2:29" x14ac:dyDescent="0.2">
      <c r="B40" t="s">
        <v>22</v>
      </c>
      <c r="T40" s="13" t="s">
        <v>23</v>
      </c>
      <c r="U40" s="13" t="s">
        <v>5</v>
      </c>
    </row>
    <row r="41" spans="2:29" x14ac:dyDescent="0.2">
      <c r="B41" s="17"/>
      <c r="C41" s="18" t="str">
        <f t="shared" ref="C41:C49" si="17">TEXT(B41,"aaa")</f>
        <v>土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>
        <f t="shared" ref="T41:T50" si="18">SUM(D41:S41)</f>
        <v>0</v>
      </c>
      <c r="U41" s="40"/>
      <c r="W41" s="38"/>
    </row>
    <row r="42" spans="2:29" x14ac:dyDescent="0.2">
      <c r="B42" s="17"/>
      <c r="C42" s="18" t="str">
        <f t="shared" si="17"/>
        <v>土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>
        <f t="shared" si="18"/>
        <v>0</v>
      </c>
      <c r="U42" s="40"/>
      <c r="V42" s="38"/>
    </row>
    <row r="43" spans="2:29" x14ac:dyDescent="0.2">
      <c r="B43" s="17"/>
      <c r="C43" s="18" t="str">
        <f t="shared" si="17"/>
        <v>土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>
        <f t="shared" si="18"/>
        <v>0</v>
      </c>
      <c r="U43" s="40"/>
    </row>
    <row r="44" spans="2:29" x14ac:dyDescent="0.2">
      <c r="B44" s="17"/>
      <c r="C44" s="18" t="str">
        <f t="shared" si="17"/>
        <v>土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>
        <f t="shared" si="18"/>
        <v>0</v>
      </c>
      <c r="U44" s="40"/>
    </row>
    <row r="45" spans="2:29" x14ac:dyDescent="0.2">
      <c r="B45" s="17"/>
      <c r="C45" s="18" t="str">
        <f t="shared" si="17"/>
        <v>土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>
        <f t="shared" si="18"/>
        <v>0</v>
      </c>
      <c r="U45" s="40"/>
    </row>
    <row r="46" spans="2:29" x14ac:dyDescent="0.2">
      <c r="B46" s="17"/>
      <c r="C46" s="18" t="str">
        <f t="shared" si="17"/>
        <v>土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>
        <f t="shared" si="18"/>
        <v>0</v>
      </c>
      <c r="U46" s="40"/>
    </row>
    <row r="47" spans="2:29" x14ac:dyDescent="0.2">
      <c r="B47" s="17"/>
      <c r="C47" s="18" t="str">
        <f t="shared" si="17"/>
        <v>土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>
        <f t="shared" si="18"/>
        <v>0</v>
      </c>
      <c r="U47" s="40"/>
    </row>
    <row r="48" spans="2:29" x14ac:dyDescent="0.2">
      <c r="B48" s="17"/>
      <c r="C48" s="18" t="str">
        <f t="shared" si="17"/>
        <v>土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>
        <f t="shared" si="18"/>
        <v>0</v>
      </c>
      <c r="U48" s="40"/>
    </row>
    <row r="49" spans="2:22" x14ac:dyDescent="0.2">
      <c r="B49" s="17"/>
      <c r="C49" s="18" t="str">
        <f t="shared" si="17"/>
        <v>土</v>
      </c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34"/>
      <c r="S49" s="50"/>
      <c r="T49" s="34">
        <f t="shared" si="18"/>
        <v>0</v>
      </c>
      <c r="U49" s="67"/>
    </row>
    <row r="50" spans="2:22" x14ac:dyDescent="0.2">
      <c r="B50" s="59" t="s">
        <v>168</v>
      </c>
      <c r="C50" s="66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>
        <v>15804</v>
      </c>
      <c r="S50" s="50"/>
      <c r="T50" s="34">
        <f t="shared" si="18"/>
        <v>15804</v>
      </c>
      <c r="U50" s="67" t="s">
        <v>133</v>
      </c>
      <c r="V50" t="s">
        <v>167</v>
      </c>
    </row>
    <row r="51" spans="2:22" ht="13.8" thickBot="1" x14ac:dyDescent="0.25">
      <c r="B51" s="25"/>
      <c r="C51" s="26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42"/>
    </row>
    <row r="52" spans="2:22" ht="13.8" thickTop="1" x14ac:dyDescent="0.2">
      <c r="B52" s="29" t="s">
        <v>21</v>
      </c>
      <c r="C52" s="22" t="s">
        <v>0</v>
      </c>
      <c r="D52" s="22">
        <f t="shared" ref="D52:T52" si="19">SUM(D41:D51)</f>
        <v>0</v>
      </c>
      <c r="E52" s="22">
        <f t="shared" si="19"/>
        <v>0</v>
      </c>
      <c r="F52" s="22">
        <f t="shared" si="19"/>
        <v>0</v>
      </c>
      <c r="G52" s="22">
        <f t="shared" si="19"/>
        <v>0</v>
      </c>
      <c r="H52" s="22">
        <f t="shared" si="19"/>
        <v>0</v>
      </c>
      <c r="I52" s="22">
        <f t="shared" si="19"/>
        <v>0</v>
      </c>
      <c r="J52" s="22">
        <f t="shared" si="19"/>
        <v>0</v>
      </c>
      <c r="K52" s="22">
        <f t="shared" si="19"/>
        <v>0</v>
      </c>
      <c r="L52" s="22">
        <f t="shared" si="19"/>
        <v>0</v>
      </c>
      <c r="M52" s="22">
        <f t="shared" si="19"/>
        <v>0</v>
      </c>
      <c r="N52" s="22">
        <f t="shared" si="19"/>
        <v>0</v>
      </c>
      <c r="O52" s="22">
        <f t="shared" si="19"/>
        <v>0</v>
      </c>
      <c r="P52" s="22">
        <f t="shared" si="19"/>
        <v>0</v>
      </c>
      <c r="Q52" s="22">
        <f t="shared" si="19"/>
        <v>0</v>
      </c>
      <c r="R52" s="22">
        <f t="shared" si="19"/>
        <v>15804</v>
      </c>
      <c r="S52" s="22">
        <f t="shared" si="19"/>
        <v>0</v>
      </c>
      <c r="T52" s="22">
        <f t="shared" si="19"/>
        <v>15804</v>
      </c>
      <c r="U52" s="43"/>
    </row>
  </sheetData>
  <phoneticPr fontId="1"/>
  <conditionalFormatting sqref="Z6:Z36">
    <cfRule type="cellIs" dxfId="1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</vt:i4>
      </vt:variant>
    </vt:vector>
  </HeadingPairs>
  <TitlesOfParts>
    <vt:vector size="16" baseType="lpstr">
      <vt:lpstr>件番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  <vt:lpstr>2月</vt:lpstr>
      <vt:lpstr>2027年3月</vt:lpstr>
      <vt:lpstr>'8月'!Print_Area</vt:lpstr>
      <vt:lpstr>'9月'!Print_Area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土生 恭祐</dc:creator>
  <cp:lastModifiedBy>松田 一彦</cp:lastModifiedBy>
  <cp:lastPrinted>2021-09-16T04:01:38Z</cp:lastPrinted>
  <dcterms:created xsi:type="dcterms:W3CDTF">2014-01-09T06:03:17Z</dcterms:created>
  <dcterms:modified xsi:type="dcterms:W3CDTF">2026-04-01T08:52:34Z</dcterms:modified>
</cp:coreProperties>
</file>